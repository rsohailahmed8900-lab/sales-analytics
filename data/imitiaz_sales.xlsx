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SG\Downloads\Rabia\"/>
    </mc:Choice>
  </mc:AlternateContent>
  <xr:revisionPtr revIDLastSave="0" documentId="13_ncr:1_{790ACB5B-44DB-4DD8-A6E3-57897B9EA386}" xr6:coauthVersionLast="47" xr6:coauthVersionMax="47" xr10:uidLastSave="{00000000-0000-0000-0000-000000000000}"/>
  <bookViews>
    <workbookView xWindow="-110" yWindow="-110" windowWidth="19420" windowHeight="10300" tabRatio="500" firstSheet="5" activeTab="6" xr2:uid="{00000000-000D-0000-FFFF-FFFF00000000}"/>
  </bookViews>
  <sheets>
    <sheet name="Sheet2" sheetId="3" r:id="rId1"/>
    <sheet name="year wise sales" sheetId="4" r:id="rId2"/>
    <sheet name="Sheet8" sheetId="9" r:id="rId3"/>
    <sheet name="category wise sales" sheetId="5" r:id="rId4"/>
    <sheet name="Branxh wise sales" sheetId="6" r:id="rId5"/>
    <sheet name="Top 10 product sales" sheetId="7" r:id="rId6"/>
    <sheet name="sales dashboard" sheetId="8" r:id="rId7"/>
    <sheet name="Sheet9" sheetId="10" r:id="rId8"/>
    <sheet name="data" sheetId="2" r:id="rId9"/>
  </sheets>
  <definedNames>
    <definedName name="Slicer_Year">#N/A</definedName>
  </definedNames>
  <calcPr calcId="191029" iterateDelta="1E-4"/>
  <pivotCaches>
    <pivotCache cacheId="1"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7" i="10" l="1"/>
  <c r="D6" i="10"/>
  <c r="D5" i="10"/>
  <c r="L1001" i="2"/>
  <c r="L1000" i="2"/>
  <c r="O999" i="2"/>
  <c r="N999" i="2"/>
  <c r="L999" i="2"/>
  <c r="N998" i="2"/>
  <c r="L998" i="2"/>
  <c r="O998" i="2" s="1"/>
  <c r="L997" i="2"/>
  <c r="O996" i="2"/>
  <c r="N996" i="2"/>
  <c r="L996" i="2"/>
  <c r="L995" i="2"/>
  <c r="N995" i="2" s="1"/>
  <c r="O995" i="2" s="1"/>
  <c r="L994" i="2"/>
  <c r="L993" i="2"/>
  <c r="N992" i="2"/>
  <c r="L992" i="2"/>
  <c r="O992" i="2" s="1"/>
  <c r="N991" i="2"/>
  <c r="O991" i="2" s="1"/>
  <c r="L991" i="2"/>
  <c r="N990" i="2"/>
  <c r="L990" i="2"/>
  <c r="O990" i="2" s="1"/>
  <c r="L989" i="2"/>
  <c r="O988" i="2"/>
  <c r="N988" i="2"/>
  <c r="L988" i="2"/>
  <c r="L987" i="2"/>
  <c r="N987" i="2" s="1"/>
  <c r="O987" i="2" s="1"/>
  <c r="L986" i="2"/>
  <c r="L985" i="2"/>
  <c r="N984" i="2"/>
  <c r="O984" i="2" s="1"/>
  <c r="L984" i="2"/>
  <c r="O983" i="2"/>
  <c r="N983" i="2"/>
  <c r="L983" i="2"/>
  <c r="N982" i="2"/>
  <c r="L982" i="2"/>
  <c r="O982" i="2" s="1"/>
  <c r="L981" i="2"/>
  <c r="O980" i="2"/>
  <c r="N980" i="2"/>
  <c r="L980" i="2"/>
  <c r="L979" i="2"/>
  <c r="N979" i="2" s="1"/>
  <c r="O979" i="2" s="1"/>
  <c r="N978" i="2"/>
  <c r="L978" i="2"/>
  <c r="L977" i="2"/>
  <c r="N976" i="2"/>
  <c r="O976" i="2" s="1"/>
  <c r="L976" i="2"/>
  <c r="O975" i="2"/>
  <c r="N975" i="2"/>
  <c r="L975" i="2"/>
  <c r="N974" i="2"/>
  <c r="L974" i="2"/>
  <c r="O974" i="2" s="1"/>
  <c r="L973" i="2"/>
  <c r="O972" i="2"/>
  <c r="N972" i="2"/>
  <c r="L972" i="2"/>
  <c r="L971" i="2"/>
  <c r="N971" i="2" s="1"/>
  <c r="O971" i="2" s="1"/>
  <c r="L970" i="2"/>
  <c r="L969" i="2"/>
  <c r="N968" i="2"/>
  <c r="O968" i="2" s="1"/>
  <c r="L968" i="2"/>
  <c r="O967" i="2"/>
  <c r="N967" i="2"/>
  <c r="L967" i="2"/>
  <c r="N966" i="2"/>
  <c r="L966" i="2"/>
  <c r="O966" i="2" s="1"/>
  <c r="L965" i="2"/>
  <c r="O964" i="2"/>
  <c r="N964" i="2"/>
  <c r="L964" i="2"/>
  <c r="L963" i="2"/>
  <c r="N963" i="2" s="1"/>
  <c r="O963" i="2" s="1"/>
  <c r="N962" i="2"/>
  <c r="L962" i="2"/>
  <c r="L961" i="2"/>
  <c r="N960" i="2"/>
  <c r="O960" i="2" s="1"/>
  <c r="L960" i="2"/>
  <c r="N959" i="2"/>
  <c r="O959" i="2" s="1"/>
  <c r="L959" i="2"/>
  <c r="N958" i="2"/>
  <c r="L958" i="2"/>
  <c r="O958" i="2" s="1"/>
  <c r="L957" i="2"/>
  <c r="O956" i="2"/>
  <c r="N956" i="2"/>
  <c r="L956" i="2"/>
  <c r="L955" i="2"/>
  <c r="N955" i="2" s="1"/>
  <c r="O955" i="2" s="1"/>
  <c r="N954" i="2"/>
  <c r="L954" i="2"/>
  <c r="L953" i="2"/>
  <c r="N952" i="2"/>
  <c r="O952" i="2" s="1"/>
  <c r="L952" i="2"/>
  <c r="N951" i="2"/>
  <c r="O951" i="2" s="1"/>
  <c r="L951" i="2"/>
  <c r="N950" i="2"/>
  <c r="L950" i="2"/>
  <c r="O950" i="2" s="1"/>
  <c r="L949" i="2"/>
  <c r="O948" i="2"/>
  <c r="N948" i="2"/>
  <c r="L948" i="2"/>
  <c r="L947" i="2"/>
  <c r="N947" i="2" s="1"/>
  <c r="O947" i="2" s="1"/>
  <c r="L946" i="2"/>
  <c r="L945" i="2"/>
  <c r="N944" i="2"/>
  <c r="O944" i="2" s="1"/>
  <c r="L944" i="2"/>
  <c r="N943" i="2"/>
  <c r="O943" i="2" s="1"/>
  <c r="L943" i="2"/>
  <c r="N942" i="2"/>
  <c r="L942" i="2"/>
  <c r="O942" i="2" s="1"/>
  <c r="L941" i="2"/>
  <c r="O940" i="2"/>
  <c r="N940" i="2"/>
  <c r="L940" i="2"/>
  <c r="L939" i="2"/>
  <c r="N939" i="2" s="1"/>
  <c r="O939" i="2" s="1"/>
  <c r="L938" i="2"/>
  <c r="L937" i="2"/>
  <c r="N936" i="2"/>
  <c r="O936" i="2" s="1"/>
  <c r="L936" i="2"/>
  <c r="O935" i="2"/>
  <c r="N935" i="2"/>
  <c r="L935" i="2"/>
  <c r="N934" i="2"/>
  <c r="L934" i="2"/>
  <c r="O934" i="2" s="1"/>
  <c r="L933" i="2"/>
  <c r="O932" i="2"/>
  <c r="N932" i="2"/>
  <c r="L932" i="2"/>
  <c r="L931" i="2"/>
  <c r="N931" i="2" s="1"/>
  <c r="O931" i="2" s="1"/>
  <c r="L930" i="2"/>
  <c r="L929" i="2"/>
  <c r="N928" i="2"/>
  <c r="O928" i="2" s="1"/>
  <c r="L928" i="2"/>
  <c r="N927" i="2"/>
  <c r="O927" i="2" s="1"/>
  <c r="L927" i="2"/>
  <c r="N926" i="2"/>
  <c r="L926" i="2"/>
  <c r="O926" i="2" s="1"/>
  <c r="L925" i="2"/>
  <c r="O924" i="2"/>
  <c r="N924" i="2"/>
  <c r="L924" i="2"/>
  <c r="L923" i="2"/>
  <c r="N923" i="2" s="1"/>
  <c r="O923" i="2" s="1"/>
  <c r="L922" i="2"/>
  <c r="L921" i="2"/>
  <c r="N920" i="2"/>
  <c r="O920" i="2" s="1"/>
  <c r="L920" i="2"/>
  <c r="O919" i="2"/>
  <c r="N919" i="2"/>
  <c r="L919" i="2"/>
  <c r="N918" i="2"/>
  <c r="L918" i="2"/>
  <c r="O918" i="2" s="1"/>
  <c r="L917" i="2"/>
  <c r="O916" i="2"/>
  <c r="N916" i="2"/>
  <c r="L916" i="2"/>
  <c r="L915" i="2"/>
  <c r="N915" i="2" s="1"/>
  <c r="O915" i="2" s="1"/>
  <c r="N914" i="2"/>
  <c r="L914" i="2"/>
  <c r="L913" i="2"/>
  <c r="N912" i="2"/>
  <c r="O912" i="2" s="1"/>
  <c r="L912" i="2"/>
  <c r="O911" i="2"/>
  <c r="N911" i="2"/>
  <c r="L911" i="2"/>
  <c r="N910" i="2"/>
  <c r="L910" i="2"/>
  <c r="O910" i="2" s="1"/>
  <c r="L909" i="2"/>
  <c r="O908" i="2"/>
  <c r="N908" i="2"/>
  <c r="L908" i="2"/>
  <c r="L907" i="2"/>
  <c r="N907" i="2" s="1"/>
  <c r="O907" i="2" s="1"/>
  <c r="L906" i="2"/>
  <c r="L905" i="2"/>
  <c r="N904" i="2"/>
  <c r="O904" i="2" s="1"/>
  <c r="L904" i="2"/>
  <c r="O903" i="2"/>
  <c r="N903" i="2"/>
  <c r="L903" i="2"/>
  <c r="N902" i="2"/>
  <c r="L902" i="2"/>
  <c r="O902" i="2" s="1"/>
  <c r="L901" i="2"/>
  <c r="O900" i="2"/>
  <c r="N900" i="2"/>
  <c r="L900" i="2"/>
  <c r="L899" i="2"/>
  <c r="N899" i="2" s="1"/>
  <c r="O899" i="2" s="1"/>
  <c r="N898" i="2"/>
  <c r="L898" i="2"/>
  <c r="L897" i="2"/>
  <c r="N896" i="2"/>
  <c r="O896" i="2" s="1"/>
  <c r="L896" i="2"/>
  <c r="N895" i="2"/>
  <c r="O895" i="2" s="1"/>
  <c r="L895" i="2"/>
  <c r="N894" i="2"/>
  <c r="L894" i="2"/>
  <c r="O894" i="2" s="1"/>
  <c r="L893" i="2"/>
  <c r="O892" i="2"/>
  <c r="N892" i="2"/>
  <c r="L892" i="2"/>
  <c r="L891" i="2"/>
  <c r="N891" i="2" s="1"/>
  <c r="O891" i="2" s="1"/>
  <c r="N890" i="2"/>
  <c r="L890" i="2"/>
  <c r="L889" i="2"/>
  <c r="N888" i="2"/>
  <c r="O888" i="2" s="1"/>
  <c r="L888" i="2"/>
  <c r="N887" i="2"/>
  <c r="O887" i="2" s="1"/>
  <c r="L887" i="2"/>
  <c r="N886" i="2"/>
  <c r="L886" i="2"/>
  <c r="O886" i="2" s="1"/>
  <c r="L885" i="2"/>
  <c r="O884" i="2"/>
  <c r="N884" i="2"/>
  <c r="L884" i="2"/>
  <c r="L883" i="2"/>
  <c r="N883" i="2" s="1"/>
  <c r="O883" i="2" s="1"/>
  <c r="L882" i="2"/>
  <c r="L881" i="2"/>
  <c r="N880" i="2"/>
  <c r="O880" i="2" s="1"/>
  <c r="L880" i="2"/>
  <c r="N879" i="2"/>
  <c r="O879" i="2" s="1"/>
  <c r="L879" i="2"/>
  <c r="N878" i="2"/>
  <c r="L878" i="2"/>
  <c r="O878" i="2" s="1"/>
  <c r="L877" i="2"/>
  <c r="O876" i="2"/>
  <c r="N876" i="2"/>
  <c r="L876" i="2"/>
  <c r="L875" i="2"/>
  <c r="N875" i="2" s="1"/>
  <c r="O875" i="2" s="1"/>
  <c r="L874" i="2"/>
  <c r="L873" i="2"/>
  <c r="N872" i="2"/>
  <c r="O872" i="2" s="1"/>
  <c r="L872" i="2"/>
  <c r="O871" i="2"/>
  <c r="N871" i="2"/>
  <c r="L871" i="2"/>
  <c r="N870" i="2"/>
  <c r="L870" i="2"/>
  <c r="O870" i="2" s="1"/>
  <c r="L869" i="2"/>
  <c r="O868" i="2"/>
  <c r="N868" i="2"/>
  <c r="L868" i="2"/>
  <c r="L867" i="2"/>
  <c r="N867" i="2" s="1"/>
  <c r="O867" i="2" s="1"/>
  <c r="L866" i="2"/>
  <c r="L865" i="2"/>
  <c r="N864" i="2"/>
  <c r="O864" i="2" s="1"/>
  <c r="L864" i="2"/>
  <c r="N863" i="2"/>
  <c r="O863" i="2" s="1"/>
  <c r="L863" i="2"/>
  <c r="N862" i="2"/>
  <c r="L862" i="2"/>
  <c r="O862" i="2" s="1"/>
  <c r="L861" i="2"/>
  <c r="O860" i="2"/>
  <c r="N860" i="2"/>
  <c r="L860" i="2"/>
  <c r="L859" i="2"/>
  <c r="N859" i="2" s="1"/>
  <c r="O859" i="2" s="1"/>
  <c r="L858" i="2"/>
  <c r="L857" i="2"/>
  <c r="N856" i="2"/>
  <c r="O856" i="2" s="1"/>
  <c r="L856" i="2"/>
  <c r="O855" i="2"/>
  <c r="N855" i="2"/>
  <c r="L855" i="2"/>
  <c r="N854" i="2"/>
  <c r="L854" i="2"/>
  <c r="O854" i="2" s="1"/>
  <c r="L853" i="2"/>
  <c r="O852" i="2"/>
  <c r="N852" i="2"/>
  <c r="L852" i="2"/>
  <c r="L851" i="2"/>
  <c r="N851" i="2" s="1"/>
  <c r="O851" i="2" s="1"/>
  <c r="N850" i="2"/>
  <c r="L850" i="2"/>
  <c r="L849" i="2"/>
  <c r="N848" i="2"/>
  <c r="O848" i="2" s="1"/>
  <c r="L848" i="2"/>
  <c r="O847" i="2"/>
  <c r="N847" i="2"/>
  <c r="L847" i="2"/>
  <c r="N846" i="2"/>
  <c r="L846" i="2"/>
  <c r="O846" i="2" s="1"/>
  <c r="L845" i="2"/>
  <c r="O844" i="2"/>
  <c r="N844" i="2"/>
  <c r="L844" i="2"/>
  <c r="L843" i="2"/>
  <c r="N843" i="2" s="1"/>
  <c r="O843" i="2" s="1"/>
  <c r="L842" i="2"/>
  <c r="L841" i="2"/>
  <c r="N840" i="2"/>
  <c r="O840" i="2" s="1"/>
  <c r="L840" i="2"/>
  <c r="O839" i="2"/>
  <c r="N839" i="2"/>
  <c r="L839" i="2"/>
  <c r="N838" i="2"/>
  <c r="L838" i="2"/>
  <c r="O838" i="2" s="1"/>
  <c r="L837" i="2"/>
  <c r="O836" i="2"/>
  <c r="N836" i="2"/>
  <c r="L836" i="2"/>
  <c r="L835" i="2"/>
  <c r="N835" i="2" s="1"/>
  <c r="O835" i="2" s="1"/>
  <c r="N834" i="2"/>
  <c r="L834" i="2"/>
  <c r="L833" i="2"/>
  <c r="N832" i="2"/>
  <c r="O832" i="2" s="1"/>
  <c r="L832" i="2"/>
  <c r="N831" i="2"/>
  <c r="O831" i="2" s="1"/>
  <c r="L831" i="2"/>
  <c r="N830" i="2"/>
  <c r="L830" i="2"/>
  <c r="O830" i="2" s="1"/>
  <c r="L829" i="2"/>
  <c r="O828" i="2"/>
  <c r="N828" i="2"/>
  <c r="L828" i="2"/>
  <c r="L827" i="2"/>
  <c r="N827" i="2" s="1"/>
  <c r="O827" i="2" s="1"/>
  <c r="N826" i="2"/>
  <c r="L826" i="2"/>
  <c r="L825" i="2"/>
  <c r="N824" i="2"/>
  <c r="O824" i="2" s="1"/>
  <c r="L824" i="2"/>
  <c r="N823" i="2"/>
  <c r="O823" i="2" s="1"/>
  <c r="L823" i="2"/>
  <c r="N822" i="2"/>
  <c r="L822" i="2"/>
  <c r="O822" i="2" s="1"/>
  <c r="L821" i="2"/>
  <c r="O820" i="2"/>
  <c r="N820" i="2"/>
  <c r="L820" i="2"/>
  <c r="L819" i="2"/>
  <c r="N819" i="2" s="1"/>
  <c r="O819" i="2" s="1"/>
  <c r="L818" i="2"/>
  <c r="L817" i="2"/>
  <c r="N816" i="2"/>
  <c r="O816" i="2" s="1"/>
  <c r="L816" i="2"/>
  <c r="N815" i="2"/>
  <c r="O815" i="2" s="1"/>
  <c r="L815" i="2"/>
  <c r="N814" i="2"/>
  <c r="L814" i="2"/>
  <c r="O814" i="2" s="1"/>
  <c r="L813" i="2"/>
  <c r="O812" i="2"/>
  <c r="N812" i="2"/>
  <c r="L812" i="2"/>
  <c r="L811" i="2"/>
  <c r="N811" i="2" s="1"/>
  <c r="O811" i="2" s="1"/>
  <c r="L810" i="2"/>
  <c r="L809" i="2"/>
  <c r="N808" i="2"/>
  <c r="O808" i="2" s="1"/>
  <c r="L808" i="2"/>
  <c r="O807" i="2"/>
  <c r="N807" i="2"/>
  <c r="L807" i="2"/>
  <c r="N806" i="2"/>
  <c r="L806" i="2"/>
  <c r="O806" i="2" s="1"/>
  <c r="L805" i="2"/>
  <c r="O804" i="2"/>
  <c r="N804" i="2"/>
  <c r="L804" i="2"/>
  <c r="L803" i="2"/>
  <c r="N803" i="2" s="1"/>
  <c r="O803" i="2" s="1"/>
  <c r="L802" i="2"/>
  <c r="L801" i="2"/>
  <c r="N800" i="2"/>
  <c r="O800" i="2" s="1"/>
  <c r="L800" i="2"/>
  <c r="N799" i="2"/>
  <c r="O799" i="2" s="1"/>
  <c r="L799" i="2"/>
  <c r="N798" i="2"/>
  <c r="L798" i="2"/>
  <c r="O798" i="2" s="1"/>
  <c r="L797" i="2"/>
  <c r="O796" i="2"/>
  <c r="N796" i="2"/>
  <c r="L796" i="2"/>
  <c r="L795" i="2"/>
  <c r="N795" i="2" s="1"/>
  <c r="O795" i="2" s="1"/>
  <c r="L794" i="2"/>
  <c r="L793" i="2"/>
  <c r="N792" i="2"/>
  <c r="O792" i="2" s="1"/>
  <c r="L792" i="2"/>
  <c r="O791" i="2"/>
  <c r="N791" i="2"/>
  <c r="L791" i="2"/>
  <c r="N790" i="2"/>
  <c r="L790" i="2"/>
  <c r="O790" i="2" s="1"/>
  <c r="L789" i="2"/>
  <c r="N788" i="2"/>
  <c r="O788" i="2" s="1"/>
  <c r="L788" i="2"/>
  <c r="L787" i="2"/>
  <c r="N787" i="2" s="1"/>
  <c r="O787" i="2" s="1"/>
  <c r="L786" i="2"/>
  <c r="L785" i="2"/>
  <c r="N784" i="2"/>
  <c r="O784" i="2" s="1"/>
  <c r="L784" i="2"/>
  <c r="N783" i="2"/>
  <c r="L783" i="2"/>
  <c r="O783" i="2" s="1"/>
  <c r="N782" i="2"/>
  <c r="L782" i="2"/>
  <c r="L781" i="2"/>
  <c r="O780" i="2"/>
  <c r="N780" i="2"/>
  <c r="L780" i="2"/>
  <c r="O779" i="2"/>
  <c r="L779" i="2"/>
  <c r="N779" i="2" s="1"/>
  <c r="L778" i="2"/>
  <c r="L777" i="2"/>
  <c r="N777" i="2" s="1"/>
  <c r="N776" i="2"/>
  <c r="O776" i="2" s="1"/>
  <c r="L776" i="2"/>
  <c r="L775" i="2"/>
  <c r="N775" i="2" s="1"/>
  <c r="O775" i="2" s="1"/>
  <c r="N774" i="2"/>
  <c r="L774" i="2"/>
  <c r="O774" i="2" s="1"/>
  <c r="L773" i="2"/>
  <c r="O772" i="2"/>
  <c r="N772" i="2"/>
  <c r="L772" i="2"/>
  <c r="L771" i="2"/>
  <c r="N771" i="2" s="1"/>
  <c r="O771" i="2" s="1"/>
  <c r="L770" i="2"/>
  <c r="O769" i="2"/>
  <c r="L769" i="2"/>
  <c r="N769" i="2" s="1"/>
  <c r="N768" i="2"/>
  <c r="O768" i="2" s="1"/>
  <c r="L768" i="2"/>
  <c r="L767" i="2"/>
  <c r="N766" i="2"/>
  <c r="L766" i="2"/>
  <c r="O766" i="2" s="1"/>
  <c r="L765" i="2"/>
  <c r="N764" i="2"/>
  <c r="O764" i="2" s="1"/>
  <c r="L764" i="2"/>
  <c r="L763" i="2"/>
  <c r="N763" i="2" s="1"/>
  <c r="O763" i="2" s="1"/>
  <c r="L762" i="2"/>
  <c r="O761" i="2"/>
  <c r="L761" i="2"/>
  <c r="N761" i="2" s="1"/>
  <c r="N760" i="2"/>
  <c r="O760" i="2" s="1"/>
  <c r="L760" i="2"/>
  <c r="L759" i="2"/>
  <c r="N758" i="2"/>
  <c r="L758" i="2"/>
  <c r="L757" i="2"/>
  <c r="O756" i="2"/>
  <c r="N756" i="2"/>
  <c r="L756" i="2"/>
  <c r="L755" i="2"/>
  <c r="N755" i="2" s="1"/>
  <c r="O755" i="2" s="1"/>
  <c r="N754" i="2"/>
  <c r="L754" i="2"/>
  <c r="L753" i="2"/>
  <c r="N753" i="2" s="1"/>
  <c r="N752" i="2"/>
  <c r="O752" i="2" s="1"/>
  <c r="L752" i="2"/>
  <c r="N751" i="2"/>
  <c r="L751" i="2"/>
  <c r="N750" i="2"/>
  <c r="L750" i="2"/>
  <c r="L749" i="2"/>
  <c r="N748" i="2"/>
  <c r="O748" i="2" s="1"/>
  <c r="L748" i="2"/>
  <c r="L747" i="2"/>
  <c r="N747" i="2" s="1"/>
  <c r="O747" i="2" s="1"/>
  <c r="N746" i="2"/>
  <c r="L746" i="2"/>
  <c r="O745" i="2"/>
  <c r="L745" i="2"/>
  <c r="N745" i="2" s="1"/>
  <c r="N744" i="2"/>
  <c r="O744" i="2" s="1"/>
  <c r="L744" i="2"/>
  <c r="N743" i="2"/>
  <c r="O743" i="2" s="1"/>
  <c r="L743" i="2"/>
  <c r="N742" i="2"/>
  <c r="L742" i="2"/>
  <c r="O742" i="2" s="1"/>
  <c r="L741" i="2"/>
  <c r="O740" i="2"/>
  <c r="N740" i="2"/>
  <c r="L740" i="2"/>
  <c r="O739" i="2"/>
  <c r="L739" i="2"/>
  <c r="N739" i="2" s="1"/>
  <c r="L738" i="2"/>
  <c r="L737" i="2"/>
  <c r="N737" i="2" s="1"/>
  <c r="N736" i="2"/>
  <c r="O736" i="2" s="1"/>
  <c r="L736" i="2"/>
  <c r="O735" i="2"/>
  <c r="N735" i="2"/>
  <c r="L735" i="2"/>
  <c r="N734" i="2"/>
  <c r="L734" i="2"/>
  <c r="L733" i="2"/>
  <c r="N732" i="2"/>
  <c r="O732" i="2" s="1"/>
  <c r="L732" i="2"/>
  <c r="O731" i="2"/>
  <c r="L731" i="2"/>
  <c r="N731" i="2" s="1"/>
  <c r="N730" i="2"/>
  <c r="L730" i="2"/>
  <c r="L729" i="2"/>
  <c r="N729" i="2" s="1"/>
  <c r="O729" i="2" s="1"/>
  <c r="N728" i="2"/>
  <c r="O728" i="2" s="1"/>
  <c r="L728" i="2"/>
  <c r="L727" i="2"/>
  <c r="N727" i="2" s="1"/>
  <c r="O727" i="2" s="1"/>
  <c r="N726" i="2"/>
  <c r="L726" i="2"/>
  <c r="O726" i="2" s="1"/>
  <c r="L725" i="2"/>
  <c r="O724" i="2"/>
  <c r="N724" i="2"/>
  <c r="L724" i="2"/>
  <c r="L723" i="2"/>
  <c r="N723" i="2" s="1"/>
  <c r="O723" i="2" s="1"/>
  <c r="L722" i="2"/>
  <c r="L721" i="2"/>
  <c r="N720" i="2"/>
  <c r="O720" i="2" s="1"/>
  <c r="L720" i="2"/>
  <c r="N719" i="2"/>
  <c r="L719" i="2"/>
  <c r="O719" i="2" s="1"/>
  <c r="N718" i="2"/>
  <c r="L718" i="2"/>
  <c r="L717" i="2"/>
  <c r="O716" i="2"/>
  <c r="N716" i="2"/>
  <c r="L716" i="2"/>
  <c r="O715" i="2"/>
  <c r="L715" i="2"/>
  <c r="N715" i="2" s="1"/>
  <c r="L714" i="2"/>
  <c r="L713" i="2"/>
  <c r="N712" i="2"/>
  <c r="O712" i="2" s="1"/>
  <c r="L712" i="2"/>
  <c r="L711" i="2"/>
  <c r="N711" i="2" s="1"/>
  <c r="O711" i="2" s="1"/>
  <c r="N710" i="2"/>
  <c r="L710" i="2"/>
  <c r="O710" i="2" s="1"/>
  <c r="O709" i="2"/>
  <c r="L709" i="2"/>
  <c r="N709" i="2" s="1"/>
  <c r="N708" i="2"/>
  <c r="O708" i="2" s="1"/>
  <c r="L708" i="2"/>
  <c r="L707" i="2"/>
  <c r="N707" i="2" s="1"/>
  <c r="N706" i="2"/>
  <c r="L706" i="2"/>
  <c r="O705" i="2"/>
  <c r="L705" i="2"/>
  <c r="N705" i="2" s="1"/>
  <c r="N704" i="2"/>
  <c r="O704" i="2" s="1"/>
  <c r="L704" i="2"/>
  <c r="L703" i="2"/>
  <c r="N702" i="2"/>
  <c r="L702" i="2"/>
  <c r="L701" i="2"/>
  <c r="N701" i="2" s="1"/>
  <c r="N700" i="2"/>
  <c r="O700" i="2" s="1"/>
  <c r="L700" i="2"/>
  <c r="L699" i="2"/>
  <c r="N698" i="2"/>
  <c r="L698" i="2"/>
  <c r="O697" i="2"/>
  <c r="L697" i="2"/>
  <c r="N697" i="2" s="1"/>
  <c r="N696" i="2"/>
  <c r="O696" i="2" s="1"/>
  <c r="L696" i="2"/>
  <c r="N695" i="2"/>
  <c r="O695" i="2" s="1"/>
  <c r="L695" i="2"/>
  <c r="N694" i="2"/>
  <c r="L694" i="2"/>
  <c r="O694" i="2" s="1"/>
  <c r="L693" i="2"/>
  <c r="N693" i="2" s="1"/>
  <c r="N692" i="2"/>
  <c r="O692" i="2" s="1"/>
  <c r="L692" i="2"/>
  <c r="O691" i="2"/>
  <c r="L691" i="2"/>
  <c r="N691" i="2" s="1"/>
  <c r="N690" i="2"/>
  <c r="L690" i="2"/>
  <c r="O689" i="2"/>
  <c r="L689" i="2"/>
  <c r="N689" i="2" s="1"/>
  <c r="N688" i="2"/>
  <c r="O688" i="2" s="1"/>
  <c r="L688" i="2"/>
  <c r="L687" i="2"/>
  <c r="N686" i="2"/>
  <c r="L686" i="2"/>
  <c r="O686" i="2" s="1"/>
  <c r="L685" i="2"/>
  <c r="O684" i="2"/>
  <c r="N684" i="2"/>
  <c r="L684" i="2"/>
  <c r="O683" i="2"/>
  <c r="L683" i="2"/>
  <c r="N683" i="2" s="1"/>
  <c r="N682" i="2"/>
  <c r="L682" i="2"/>
  <c r="L681" i="2"/>
  <c r="N681" i="2" s="1"/>
  <c r="N680" i="2"/>
  <c r="O680" i="2" s="1"/>
  <c r="L680" i="2"/>
  <c r="L679" i="2"/>
  <c r="N679" i="2" s="1"/>
  <c r="O679" i="2" s="1"/>
  <c r="N678" i="2"/>
  <c r="L678" i="2"/>
  <c r="O678" i="2" s="1"/>
  <c r="O677" i="2"/>
  <c r="L677" i="2"/>
  <c r="N677" i="2" s="1"/>
  <c r="N676" i="2"/>
  <c r="O676" i="2" s="1"/>
  <c r="L676" i="2"/>
  <c r="L675" i="2"/>
  <c r="N675" i="2" s="1"/>
  <c r="N674" i="2"/>
  <c r="L674" i="2"/>
  <c r="O673" i="2"/>
  <c r="L673" i="2"/>
  <c r="N673" i="2" s="1"/>
  <c r="N672" i="2"/>
  <c r="O672" i="2" s="1"/>
  <c r="L672" i="2"/>
  <c r="L671" i="2"/>
  <c r="N670" i="2"/>
  <c r="L670" i="2"/>
  <c r="L669" i="2"/>
  <c r="N669" i="2" s="1"/>
  <c r="N668" i="2"/>
  <c r="O668" i="2" s="1"/>
  <c r="L668" i="2"/>
  <c r="L667" i="2"/>
  <c r="N667" i="2" s="1"/>
  <c r="N666" i="2"/>
  <c r="L666" i="2"/>
  <c r="O665" i="2"/>
  <c r="L665" i="2"/>
  <c r="N665" i="2" s="1"/>
  <c r="N664" i="2"/>
  <c r="O664" i="2" s="1"/>
  <c r="L664" i="2"/>
  <c r="N663" i="2"/>
  <c r="O663" i="2" s="1"/>
  <c r="L663" i="2"/>
  <c r="N662" i="2"/>
  <c r="L662" i="2"/>
  <c r="O662" i="2" s="1"/>
  <c r="O661" i="2"/>
  <c r="L661" i="2"/>
  <c r="N661" i="2" s="1"/>
  <c r="O660" i="2"/>
  <c r="N660" i="2"/>
  <c r="L660" i="2"/>
  <c r="N659" i="2"/>
  <c r="L659" i="2"/>
  <c r="O659" i="2" s="1"/>
  <c r="L658" i="2"/>
  <c r="O657" i="2"/>
  <c r="N657" i="2"/>
  <c r="L657" i="2"/>
  <c r="L656" i="2"/>
  <c r="N656" i="2" s="1"/>
  <c r="O656" i="2" s="1"/>
  <c r="N655" i="2"/>
  <c r="L655" i="2"/>
  <c r="L654" i="2"/>
  <c r="N653" i="2"/>
  <c r="L653" i="2"/>
  <c r="O653" i="2" s="1"/>
  <c r="N652" i="2"/>
  <c r="O652" i="2" s="1"/>
  <c r="L652" i="2"/>
  <c r="N651" i="2"/>
  <c r="L651" i="2"/>
  <c r="O651" i="2" s="1"/>
  <c r="L650" i="2"/>
  <c r="O649" i="2"/>
  <c r="N649" i="2"/>
  <c r="L649" i="2"/>
  <c r="L648" i="2"/>
  <c r="N648" i="2" s="1"/>
  <c r="O648" i="2" s="1"/>
  <c r="L647" i="2"/>
  <c r="L646" i="2"/>
  <c r="N645" i="2"/>
  <c r="L645" i="2"/>
  <c r="O645" i="2" s="1"/>
  <c r="N644" i="2"/>
  <c r="O644" i="2" s="1"/>
  <c r="L644" i="2"/>
  <c r="N643" i="2"/>
  <c r="L643" i="2"/>
  <c r="O643" i="2" s="1"/>
  <c r="L642" i="2"/>
  <c r="O641" i="2"/>
  <c r="N641" i="2"/>
  <c r="L641" i="2"/>
  <c r="L640" i="2"/>
  <c r="N640" i="2" s="1"/>
  <c r="O640" i="2" s="1"/>
  <c r="N639" i="2"/>
  <c r="L639" i="2"/>
  <c r="L638" i="2"/>
  <c r="L637" i="2"/>
  <c r="N636" i="2"/>
  <c r="O636" i="2" s="1"/>
  <c r="L636" i="2"/>
  <c r="N635" i="2"/>
  <c r="L635" i="2"/>
  <c r="O635" i="2" s="1"/>
  <c r="L634" i="2"/>
  <c r="O633" i="2"/>
  <c r="N633" i="2"/>
  <c r="L633" i="2"/>
  <c r="L632" i="2"/>
  <c r="N632" i="2" s="1"/>
  <c r="O632" i="2" s="1"/>
  <c r="L631" i="2"/>
  <c r="L630" i="2"/>
  <c r="L629" i="2"/>
  <c r="O628" i="2"/>
  <c r="N628" i="2"/>
  <c r="L628" i="2"/>
  <c r="N627" i="2"/>
  <c r="L627" i="2"/>
  <c r="O627" i="2" s="1"/>
  <c r="L626" i="2"/>
  <c r="O625" i="2"/>
  <c r="N625" i="2"/>
  <c r="L625" i="2"/>
  <c r="L624" i="2"/>
  <c r="N624" i="2" s="1"/>
  <c r="O624" i="2" s="1"/>
  <c r="L623" i="2"/>
  <c r="L622" i="2"/>
  <c r="L621" i="2"/>
  <c r="O620" i="2"/>
  <c r="N620" i="2"/>
  <c r="L620" i="2"/>
  <c r="N619" i="2"/>
  <c r="L619" i="2"/>
  <c r="O619" i="2" s="1"/>
  <c r="L618" i="2"/>
  <c r="O617" i="2"/>
  <c r="N617" i="2"/>
  <c r="L617" i="2"/>
  <c r="L616" i="2"/>
  <c r="N616" i="2" s="1"/>
  <c r="O616" i="2" s="1"/>
  <c r="N615" i="2"/>
  <c r="L615" i="2"/>
  <c r="L614" i="2"/>
  <c r="L613" i="2"/>
  <c r="N612" i="2"/>
  <c r="O612" i="2" s="1"/>
  <c r="L612" i="2"/>
  <c r="N611" i="2"/>
  <c r="L611" i="2"/>
  <c r="O611" i="2" s="1"/>
  <c r="L610" i="2"/>
  <c r="O609" i="2"/>
  <c r="N609" i="2"/>
  <c r="L609" i="2"/>
  <c r="L608" i="2"/>
  <c r="N608" i="2" s="1"/>
  <c r="O608" i="2" s="1"/>
  <c r="N607" i="2"/>
  <c r="L607" i="2"/>
  <c r="L606" i="2"/>
  <c r="L605" i="2"/>
  <c r="N604" i="2"/>
  <c r="O604" i="2" s="1"/>
  <c r="L604" i="2"/>
  <c r="N603" i="2"/>
  <c r="L603" i="2"/>
  <c r="O603" i="2" s="1"/>
  <c r="L602" i="2"/>
  <c r="O601" i="2"/>
  <c r="N601" i="2"/>
  <c r="L601" i="2"/>
  <c r="L600" i="2"/>
  <c r="N600" i="2" s="1"/>
  <c r="O600" i="2" s="1"/>
  <c r="L599" i="2"/>
  <c r="L598" i="2"/>
  <c r="L597" i="2"/>
  <c r="O596" i="2"/>
  <c r="N596" i="2"/>
  <c r="L596" i="2"/>
  <c r="N595" i="2"/>
  <c r="L595" i="2"/>
  <c r="O595" i="2" s="1"/>
  <c r="L594" i="2"/>
  <c r="O593" i="2"/>
  <c r="N593" i="2"/>
  <c r="L593" i="2"/>
  <c r="L592" i="2"/>
  <c r="N592" i="2" s="1"/>
  <c r="O592" i="2" s="1"/>
  <c r="L591" i="2"/>
  <c r="L590" i="2"/>
  <c r="L589" i="2"/>
  <c r="O588" i="2"/>
  <c r="N588" i="2"/>
  <c r="L588" i="2"/>
  <c r="N587" i="2"/>
  <c r="L587" i="2"/>
  <c r="O587" i="2" s="1"/>
  <c r="L586" i="2"/>
  <c r="O585" i="2"/>
  <c r="N585" i="2"/>
  <c r="L585" i="2"/>
  <c r="L584" i="2"/>
  <c r="N584" i="2" s="1"/>
  <c r="O584" i="2" s="1"/>
  <c r="N583" i="2"/>
  <c r="L583" i="2"/>
  <c r="L582" i="2"/>
  <c r="L581" i="2"/>
  <c r="N580" i="2"/>
  <c r="O580" i="2" s="1"/>
  <c r="L580" i="2"/>
  <c r="N579" i="2"/>
  <c r="L579" i="2"/>
  <c r="O579" i="2" s="1"/>
  <c r="L578" i="2"/>
  <c r="O577" i="2"/>
  <c r="N577" i="2"/>
  <c r="L577" i="2"/>
  <c r="O576" i="2"/>
  <c r="L576" i="2"/>
  <c r="N576" i="2" s="1"/>
  <c r="L575" i="2"/>
  <c r="L574" i="2"/>
  <c r="L573" i="2"/>
  <c r="O572" i="2"/>
  <c r="N572" i="2"/>
  <c r="L572" i="2"/>
  <c r="N571" i="2"/>
  <c r="L571" i="2"/>
  <c r="L570" i="2"/>
  <c r="O569" i="2"/>
  <c r="N569" i="2"/>
  <c r="L569" i="2"/>
  <c r="L568" i="2"/>
  <c r="N568" i="2" s="1"/>
  <c r="O568" i="2" s="1"/>
  <c r="N567" i="2"/>
  <c r="L567" i="2"/>
  <c r="O566" i="2"/>
  <c r="L566" i="2"/>
  <c r="N566" i="2" s="1"/>
  <c r="L565" i="2"/>
  <c r="L564" i="2"/>
  <c r="N563" i="2"/>
  <c r="L563" i="2"/>
  <c r="L562" i="2"/>
  <c r="O561" i="2"/>
  <c r="N561" i="2"/>
  <c r="L561" i="2"/>
  <c r="L560" i="2"/>
  <c r="N560" i="2" s="1"/>
  <c r="O560" i="2" s="1"/>
  <c r="N559" i="2"/>
  <c r="L559" i="2"/>
  <c r="O558" i="2"/>
  <c r="L558" i="2"/>
  <c r="N558" i="2" s="1"/>
  <c r="L557" i="2"/>
  <c r="L556" i="2"/>
  <c r="N555" i="2"/>
  <c r="L555" i="2"/>
  <c r="L554" i="2"/>
  <c r="O553" i="2"/>
  <c r="N553" i="2"/>
  <c r="L553" i="2"/>
  <c r="L552" i="2"/>
  <c r="N552" i="2" s="1"/>
  <c r="O552" i="2" s="1"/>
  <c r="N551" i="2"/>
  <c r="L551" i="2"/>
  <c r="O550" i="2"/>
  <c r="L550" i="2"/>
  <c r="N550" i="2" s="1"/>
  <c r="L549" i="2"/>
  <c r="L548" i="2"/>
  <c r="N547" i="2"/>
  <c r="L547" i="2"/>
  <c r="L546" i="2"/>
  <c r="O545" i="2"/>
  <c r="N545" i="2"/>
  <c r="L545" i="2"/>
  <c r="L544" i="2"/>
  <c r="N544" i="2" s="1"/>
  <c r="O544" i="2" s="1"/>
  <c r="N543" i="2"/>
  <c r="L543" i="2"/>
  <c r="O542" i="2"/>
  <c r="L542" i="2"/>
  <c r="N542" i="2" s="1"/>
  <c r="L541" i="2"/>
  <c r="L540" i="2"/>
  <c r="N539" i="2"/>
  <c r="L539" i="2"/>
  <c r="L538" i="2"/>
  <c r="O537" i="2"/>
  <c r="N537" i="2"/>
  <c r="L537" i="2"/>
  <c r="L536" i="2"/>
  <c r="N536" i="2" s="1"/>
  <c r="O536" i="2" s="1"/>
  <c r="N535" i="2"/>
  <c r="L535" i="2"/>
  <c r="O534" i="2"/>
  <c r="L534" i="2"/>
  <c r="N534" i="2" s="1"/>
  <c r="L533" i="2"/>
  <c r="L532" i="2"/>
  <c r="N531" i="2"/>
  <c r="L531" i="2"/>
  <c r="L530" i="2"/>
  <c r="O529" i="2"/>
  <c r="N529" i="2"/>
  <c r="L529" i="2"/>
  <c r="L528" i="2"/>
  <c r="N528" i="2" s="1"/>
  <c r="O528" i="2" s="1"/>
  <c r="N527" i="2"/>
  <c r="L527" i="2"/>
  <c r="L526" i="2"/>
  <c r="N526" i="2" s="1"/>
  <c r="O526" i="2" s="1"/>
  <c r="L525" i="2"/>
  <c r="L524" i="2"/>
  <c r="N523" i="2"/>
  <c r="L523" i="2"/>
  <c r="L522" i="2"/>
  <c r="O521" i="2"/>
  <c r="N521" i="2"/>
  <c r="L521" i="2"/>
  <c r="L520" i="2"/>
  <c r="N520" i="2" s="1"/>
  <c r="O520" i="2" s="1"/>
  <c r="N519" i="2"/>
  <c r="L519" i="2"/>
  <c r="L518" i="2"/>
  <c r="N518" i="2" s="1"/>
  <c r="L517" i="2"/>
  <c r="L516" i="2"/>
  <c r="N515" i="2"/>
  <c r="L515" i="2"/>
  <c r="L514" i="2"/>
  <c r="O513" i="2"/>
  <c r="N513" i="2"/>
  <c r="L513" i="2"/>
  <c r="L512" i="2"/>
  <c r="N512" i="2" s="1"/>
  <c r="O512" i="2" s="1"/>
  <c r="N511" i="2"/>
  <c r="L511" i="2"/>
  <c r="L510" i="2"/>
  <c r="N510" i="2" s="1"/>
  <c r="L509" i="2"/>
  <c r="L508" i="2"/>
  <c r="N507" i="2"/>
  <c r="L507" i="2"/>
  <c r="L506" i="2"/>
  <c r="O505" i="2"/>
  <c r="N505" i="2"/>
  <c r="L505" i="2"/>
  <c r="L504" i="2"/>
  <c r="N504" i="2" s="1"/>
  <c r="O504" i="2" s="1"/>
  <c r="N503" i="2"/>
  <c r="L503" i="2"/>
  <c r="L502" i="2"/>
  <c r="N502" i="2" s="1"/>
  <c r="L501" i="2"/>
  <c r="L500" i="2"/>
  <c r="N499" i="2"/>
  <c r="L499" i="2"/>
  <c r="L498" i="2"/>
  <c r="O497" i="2"/>
  <c r="N497" i="2"/>
  <c r="L497" i="2"/>
  <c r="L496" i="2"/>
  <c r="N496" i="2" s="1"/>
  <c r="O496" i="2" s="1"/>
  <c r="N495" i="2"/>
  <c r="L495" i="2"/>
  <c r="L494" i="2"/>
  <c r="N494" i="2" s="1"/>
  <c r="L493" i="2"/>
  <c r="L492" i="2"/>
  <c r="N491" i="2"/>
  <c r="L491" i="2"/>
  <c r="L490" i="2"/>
  <c r="O489" i="2"/>
  <c r="N489" i="2"/>
  <c r="L489" i="2"/>
  <c r="L488" i="2"/>
  <c r="N488" i="2" s="1"/>
  <c r="O488" i="2" s="1"/>
  <c r="N487" i="2"/>
  <c r="L487" i="2"/>
  <c r="L486" i="2"/>
  <c r="N486" i="2" s="1"/>
  <c r="L485" i="2"/>
  <c r="L484" i="2"/>
  <c r="N483" i="2"/>
  <c r="L483" i="2"/>
  <c r="L482" i="2"/>
  <c r="O481" i="2"/>
  <c r="N481" i="2"/>
  <c r="L481" i="2"/>
  <c r="L480" i="2"/>
  <c r="N480" i="2" s="1"/>
  <c r="O480" i="2" s="1"/>
  <c r="N479" i="2"/>
  <c r="L479" i="2"/>
  <c r="L478" i="2"/>
  <c r="N478" i="2" s="1"/>
  <c r="L477" i="2"/>
  <c r="L476" i="2"/>
  <c r="N475" i="2"/>
  <c r="L475" i="2"/>
  <c r="L474" i="2"/>
  <c r="O473" i="2"/>
  <c r="N473" i="2"/>
  <c r="L473" i="2"/>
  <c r="L472" i="2"/>
  <c r="N472" i="2" s="1"/>
  <c r="O472" i="2" s="1"/>
  <c r="N471" i="2"/>
  <c r="L471" i="2"/>
  <c r="L470" i="2"/>
  <c r="N470" i="2" s="1"/>
  <c r="L469" i="2"/>
  <c r="L468" i="2"/>
  <c r="N467" i="2"/>
  <c r="L467" i="2"/>
  <c r="L466" i="2"/>
  <c r="O465" i="2"/>
  <c r="N465" i="2"/>
  <c r="L465" i="2"/>
  <c r="L464" i="2"/>
  <c r="N464" i="2" s="1"/>
  <c r="O464" i="2" s="1"/>
  <c r="N463" i="2"/>
  <c r="L463" i="2"/>
  <c r="L462" i="2"/>
  <c r="N462" i="2" s="1"/>
  <c r="L461" i="2"/>
  <c r="L460" i="2"/>
  <c r="N459" i="2"/>
  <c r="L459" i="2"/>
  <c r="L458" i="2"/>
  <c r="O457" i="2"/>
  <c r="N457" i="2"/>
  <c r="L457" i="2"/>
  <c r="L456" i="2"/>
  <c r="N456" i="2" s="1"/>
  <c r="O456" i="2" s="1"/>
  <c r="N455" i="2"/>
  <c r="L455" i="2"/>
  <c r="L454" i="2"/>
  <c r="N454" i="2" s="1"/>
  <c r="L453" i="2"/>
  <c r="L452" i="2"/>
  <c r="N451" i="2"/>
  <c r="L451" i="2"/>
  <c r="L450" i="2"/>
  <c r="O449" i="2"/>
  <c r="N449" i="2"/>
  <c r="L449" i="2"/>
  <c r="L448" i="2"/>
  <c r="N448" i="2" s="1"/>
  <c r="O448" i="2" s="1"/>
  <c r="N447" i="2"/>
  <c r="L447" i="2"/>
  <c r="L446" i="2"/>
  <c r="N446" i="2" s="1"/>
  <c r="L445" i="2"/>
  <c r="L444" i="2"/>
  <c r="N443" i="2"/>
  <c r="L443" i="2"/>
  <c r="L442" i="2"/>
  <c r="O441" i="2"/>
  <c r="N441" i="2"/>
  <c r="L441" i="2"/>
  <c r="L440" i="2"/>
  <c r="N440" i="2" s="1"/>
  <c r="O440" i="2" s="1"/>
  <c r="N439" i="2"/>
  <c r="L439" i="2"/>
  <c r="L438" i="2"/>
  <c r="N438" i="2" s="1"/>
  <c r="L437" i="2"/>
  <c r="L436" i="2"/>
  <c r="N435" i="2"/>
  <c r="L435" i="2"/>
  <c r="L434" i="2"/>
  <c r="O433" i="2"/>
  <c r="N433" i="2"/>
  <c r="L433" i="2"/>
  <c r="N432" i="2"/>
  <c r="L432" i="2"/>
  <c r="L431" i="2"/>
  <c r="N430" i="2"/>
  <c r="O430" i="2" s="1"/>
  <c r="L430" i="2"/>
  <c r="O429" i="2"/>
  <c r="N429" i="2"/>
  <c r="L429" i="2"/>
  <c r="N428" i="2"/>
  <c r="O428" i="2" s="1"/>
  <c r="L428" i="2"/>
  <c r="L427" i="2"/>
  <c r="L426" i="2"/>
  <c r="N426" i="2" s="1"/>
  <c r="O426" i="2" s="1"/>
  <c r="L425" i="2"/>
  <c r="N425" i="2" s="1"/>
  <c r="O425" i="2" s="1"/>
  <c r="L424" i="2"/>
  <c r="L423" i="2"/>
  <c r="N422" i="2"/>
  <c r="O422" i="2" s="1"/>
  <c r="L422" i="2"/>
  <c r="N421" i="2"/>
  <c r="O421" i="2" s="1"/>
  <c r="L421" i="2"/>
  <c r="N420" i="2"/>
  <c r="O420" i="2" s="1"/>
  <c r="L420" i="2"/>
  <c r="L419" i="2"/>
  <c r="O418" i="2"/>
  <c r="L418" i="2"/>
  <c r="N418" i="2" s="1"/>
  <c r="L417" i="2"/>
  <c r="N417" i="2" s="1"/>
  <c r="O417" i="2" s="1"/>
  <c r="N416" i="2"/>
  <c r="L416" i="2"/>
  <c r="L415" i="2"/>
  <c r="N414" i="2"/>
  <c r="O414" i="2" s="1"/>
  <c r="L414" i="2"/>
  <c r="N413" i="2"/>
  <c r="O413" i="2" s="1"/>
  <c r="L413" i="2"/>
  <c r="N412" i="2"/>
  <c r="O412" i="2" s="1"/>
  <c r="L412" i="2"/>
  <c r="L411" i="2"/>
  <c r="O410" i="2"/>
  <c r="L410" i="2"/>
  <c r="N410" i="2" s="1"/>
  <c r="L409" i="2"/>
  <c r="N409" i="2" s="1"/>
  <c r="O409" i="2" s="1"/>
  <c r="L408" i="2"/>
  <c r="L407" i="2"/>
  <c r="N406" i="2"/>
  <c r="O406" i="2" s="1"/>
  <c r="L406" i="2"/>
  <c r="O405" i="2"/>
  <c r="N405" i="2"/>
  <c r="L405" i="2"/>
  <c r="N404" i="2"/>
  <c r="O404" i="2" s="1"/>
  <c r="L404" i="2"/>
  <c r="L403" i="2"/>
  <c r="O402" i="2"/>
  <c r="L402" i="2"/>
  <c r="N402" i="2" s="1"/>
  <c r="L401" i="2"/>
  <c r="N401" i="2" s="1"/>
  <c r="O401" i="2" s="1"/>
  <c r="L400" i="2"/>
  <c r="L399" i="2"/>
  <c r="N398" i="2"/>
  <c r="O398" i="2" s="1"/>
  <c r="L398" i="2"/>
  <c r="N397" i="2"/>
  <c r="O397" i="2" s="1"/>
  <c r="L397" i="2"/>
  <c r="O396" i="2"/>
  <c r="N396" i="2"/>
  <c r="L396" i="2"/>
  <c r="L395" i="2"/>
  <c r="O394" i="2"/>
  <c r="L394" i="2"/>
  <c r="N394" i="2" s="1"/>
  <c r="L393" i="2"/>
  <c r="N393" i="2" s="1"/>
  <c r="O393" i="2" s="1"/>
  <c r="N392" i="2"/>
  <c r="L392" i="2"/>
  <c r="L391" i="2"/>
  <c r="N391" i="2" s="1"/>
  <c r="N390" i="2"/>
  <c r="O390" i="2" s="1"/>
  <c r="L390" i="2"/>
  <c r="N389" i="2"/>
  <c r="O389" i="2" s="1"/>
  <c r="L389" i="2"/>
  <c r="N388" i="2"/>
  <c r="O388" i="2" s="1"/>
  <c r="L388" i="2"/>
  <c r="L387" i="2"/>
  <c r="L386" i="2"/>
  <c r="N386" i="2" s="1"/>
  <c r="L385" i="2"/>
  <c r="N385" i="2" s="1"/>
  <c r="O385" i="2" s="1"/>
  <c r="L384" i="2"/>
  <c r="N383" i="2"/>
  <c r="L383" i="2"/>
  <c r="N382" i="2"/>
  <c r="O382" i="2" s="1"/>
  <c r="L382" i="2"/>
  <c r="N381" i="2"/>
  <c r="O381" i="2" s="1"/>
  <c r="L381" i="2"/>
  <c r="N380" i="2"/>
  <c r="O380" i="2" s="1"/>
  <c r="L380" i="2"/>
  <c r="L379" i="2"/>
  <c r="L378" i="2"/>
  <c r="N378" i="2" s="1"/>
  <c r="O377" i="2"/>
  <c r="L377" i="2"/>
  <c r="N377" i="2" s="1"/>
  <c r="L376" i="2"/>
  <c r="N375" i="2"/>
  <c r="L375" i="2"/>
  <c r="N374" i="2"/>
  <c r="O374" i="2" s="1"/>
  <c r="L374" i="2"/>
  <c r="O373" i="2"/>
  <c r="N373" i="2"/>
  <c r="L373" i="2"/>
  <c r="O372" i="2"/>
  <c r="N372" i="2"/>
  <c r="L372" i="2"/>
  <c r="L371" i="2"/>
  <c r="L370" i="2"/>
  <c r="N370" i="2" s="1"/>
  <c r="L369" i="2"/>
  <c r="N369" i="2" s="1"/>
  <c r="O369" i="2" s="1"/>
  <c r="N368" i="2"/>
  <c r="L368" i="2"/>
  <c r="L367" i="2"/>
  <c r="N366" i="2"/>
  <c r="O366" i="2" s="1"/>
  <c r="L366" i="2"/>
  <c r="N365" i="2"/>
  <c r="O365" i="2" s="1"/>
  <c r="L365" i="2"/>
  <c r="O364" i="2"/>
  <c r="N364" i="2"/>
  <c r="L364" i="2"/>
  <c r="L363" i="2"/>
  <c r="O362" i="2"/>
  <c r="L362" i="2"/>
  <c r="N362" i="2" s="1"/>
  <c r="L361" i="2"/>
  <c r="N361" i="2" s="1"/>
  <c r="O361" i="2" s="1"/>
  <c r="N360" i="2"/>
  <c r="L360" i="2"/>
  <c r="L359" i="2"/>
  <c r="N358" i="2"/>
  <c r="L358" i="2"/>
  <c r="O358" i="2" s="1"/>
  <c r="N357" i="2"/>
  <c r="O357" i="2" s="1"/>
  <c r="L357" i="2"/>
  <c r="N356" i="2"/>
  <c r="O356" i="2" s="1"/>
  <c r="L356" i="2"/>
  <c r="L355" i="2"/>
  <c r="L354" i="2"/>
  <c r="N354" i="2" s="1"/>
  <c r="O353" i="2"/>
  <c r="L353" i="2"/>
  <c r="N353" i="2" s="1"/>
  <c r="L352" i="2"/>
  <c r="L351" i="2"/>
  <c r="N350" i="2"/>
  <c r="L350" i="2"/>
  <c r="O350" i="2" s="1"/>
  <c r="O349" i="2"/>
  <c r="N349" i="2"/>
  <c r="L349" i="2"/>
  <c r="N348" i="2"/>
  <c r="O348" i="2" s="1"/>
  <c r="L348" i="2"/>
  <c r="L347" i="2"/>
  <c r="L346" i="2"/>
  <c r="N346" i="2" s="1"/>
  <c r="O345" i="2"/>
  <c r="L345" i="2"/>
  <c r="N345" i="2" s="1"/>
  <c r="L344" i="2"/>
  <c r="N343" i="2"/>
  <c r="L343" i="2"/>
  <c r="N342" i="2"/>
  <c r="L342" i="2"/>
  <c r="O342" i="2" s="1"/>
  <c r="O341" i="2"/>
  <c r="N341" i="2"/>
  <c r="L341" i="2"/>
  <c r="N340" i="2"/>
  <c r="O340" i="2" s="1"/>
  <c r="L340" i="2"/>
  <c r="L339" i="2"/>
  <c r="O338" i="2"/>
  <c r="L338" i="2"/>
  <c r="N338" i="2" s="1"/>
  <c r="L337" i="2"/>
  <c r="N337" i="2" s="1"/>
  <c r="O337" i="2" s="1"/>
  <c r="L336" i="2"/>
  <c r="L335" i="2"/>
  <c r="N334" i="2"/>
  <c r="L334" i="2"/>
  <c r="O334" i="2" s="1"/>
  <c r="N333" i="2"/>
  <c r="O333" i="2" s="1"/>
  <c r="L333" i="2"/>
  <c r="O332" i="2"/>
  <c r="N332" i="2"/>
  <c r="L332" i="2"/>
  <c r="L331" i="2"/>
  <c r="O330" i="2"/>
  <c r="L330" i="2"/>
  <c r="N330" i="2" s="1"/>
  <c r="L329" i="2"/>
  <c r="N329" i="2" s="1"/>
  <c r="O329" i="2" s="1"/>
  <c r="N328" i="2"/>
  <c r="L328" i="2"/>
  <c r="L327" i="2"/>
  <c r="N327" i="2" s="1"/>
  <c r="N326" i="2"/>
  <c r="L326" i="2"/>
  <c r="O326" i="2" s="1"/>
  <c r="N325" i="2"/>
  <c r="O325" i="2" s="1"/>
  <c r="L325" i="2"/>
  <c r="N324" i="2"/>
  <c r="O324" i="2" s="1"/>
  <c r="L324" i="2"/>
  <c r="L323" i="2"/>
  <c r="L322" i="2"/>
  <c r="N322" i="2" s="1"/>
  <c r="L321" i="2"/>
  <c r="N321" i="2" s="1"/>
  <c r="O321" i="2" s="1"/>
  <c r="L320" i="2"/>
  <c r="N319" i="2"/>
  <c r="L319" i="2"/>
  <c r="N318" i="2"/>
  <c r="L318" i="2"/>
  <c r="O318" i="2" s="1"/>
  <c r="N317" i="2"/>
  <c r="O317" i="2" s="1"/>
  <c r="L317" i="2"/>
  <c r="N316" i="2"/>
  <c r="O316" i="2" s="1"/>
  <c r="L316" i="2"/>
  <c r="L315" i="2"/>
  <c r="L314" i="2"/>
  <c r="N314" i="2" s="1"/>
  <c r="O313" i="2"/>
  <c r="L313" i="2"/>
  <c r="N313" i="2" s="1"/>
  <c r="L312" i="2"/>
  <c r="N312" i="2" s="1"/>
  <c r="N311" i="2"/>
  <c r="L311" i="2"/>
  <c r="N310" i="2"/>
  <c r="L310" i="2"/>
  <c r="O310" i="2" s="1"/>
  <c r="O309" i="2"/>
  <c r="N309" i="2"/>
  <c r="L309" i="2"/>
  <c r="O308" i="2"/>
  <c r="N308" i="2"/>
  <c r="L308" i="2"/>
  <c r="L307" i="2"/>
  <c r="L306" i="2"/>
  <c r="N306" i="2" s="1"/>
  <c r="L305" i="2"/>
  <c r="N305" i="2" s="1"/>
  <c r="O305" i="2" s="1"/>
  <c r="N304" i="2"/>
  <c r="L304" i="2"/>
  <c r="L303" i="2"/>
  <c r="N302" i="2"/>
  <c r="L302" i="2"/>
  <c r="O302" i="2" s="1"/>
  <c r="N301" i="2"/>
  <c r="O301" i="2" s="1"/>
  <c r="L301" i="2"/>
  <c r="O300" i="2"/>
  <c r="N300" i="2"/>
  <c r="L300" i="2"/>
  <c r="L299" i="2"/>
  <c r="O298" i="2"/>
  <c r="L298" i="2"/>
  <c r="N298" i="2" s="1"/>
  <c r="L297" i="2"/>
  <c r="N297" i="2" s="1"/>
  <c r="O297" i="2" s="1"/>
  <c r="N296" i="2"/>
  <c r="L296" i="2"/>
  <c r="L295" i="2"/>
  <c r="N294" i="2"/>
  <c r="L294" i="2"/>
  <c r="O294" i="2" s="1"/>
  <c r="N293" i="2"/>
  <c r="L293" i="2"/>
  <c r="O293" i="2" s="1"/>
  <c r="N292" i="2"/>
  <c r="O292" i="2" s="1"/>
  <c r="L292" i="2"/>
  <c r="L291" i="2"/>
  <c r="L290" i="2"/>
  <c r="O289" i="2"/>
  <c r="L289" i="2"/>
  <c r="N289" i="2" s="1"/>
  <c r="L288" i="2"/>
  <c r="L287" i="2"/>
  <c r="N287" i="2" s="1"/>
  <c r="O287" i="2" s="1"/>
  <c r="N286" i="2"/>
  <c r="L286" i="2"/>
  <c r="O286" i="2" s="1"/>
  <c r="L285" i="2"/>
  <c r="O284" i="2"/>
  <c r="N284" i="2"/>
  <c r="L284" i="2"/>
  <c r="L283" i="2"/>
  <c r="L282" i="2"/>
  <c r="N282" i="2" s="1"/>
  <c r="O282" i="2" s="1"/>
  <c r="L281" i="2"/>
  <c r="N281" i="2" s="1"/>
  <c r="O281" i="2" s="1"/>
  <c r="L280" i="2"/>
  <c r="O279" i="2"/>
  <c r="N279" i="2"/>
  <c r="L279" i="2"/>
  <c r="N278" i="2"/>
  <c r="L278" i="2"/>
  <c r="O278" i="2" s="1"/>
  <c r="L277" i="2"/>
  <c r="N277" i="2" s="1"/>
  <c r="O277" i="2" s="1"/>
  <c r="O276" i="2"/>
  <c r="N276" i="2"/>
  <c r="L276" i="2"/>
  <c r="L275" i="2"/>
  <c r="N274" i="2"/>
  <c r="O274" i="2" s="1"/>
  <c r="L274" i="2"/>
  <c r="L273" i="2"/>
  <c r="N273" i="2" s="1"/>
  <c r="O273" i="2" s="1"/>
  <c r="N272" i="2"/>
  <c r="L272" i="2"/>
  <c r="L271" i="2"/>
  <c r="N270" i="2"/>
  <c r="L270" i="2"/>
  <c r="O270" i="2" s="1"/>
  <c r="O269" i="2"/>
  <c r="N269" i="2"/>
  <c r="L269" i="2"/>
  <c r="N268" i="2"/>
  <c r="O268" i="2" s="1"/>
  <c r="L268" i="2"/>
  <c r="L267" i="2"/>
  <c r="N266" i="2"/>
  <c r="L266" i="2"/>
  <c r="O266" i="2" s="1"/>
  <c r="L265" i="2"/>
  <c r="N265" i="2" s="1"/>
  <c r="O265" i="2" s="1"/>
  <c r="L264" i="2"/>
  <c r="L263" i="2"/>
  <c r="N262" i="2"/>
  <c r="L262" i="2"/>
  <c r="O262" i="2" s="1"/>
  <c r="L261" i="2"/>
  <c r="N260" i="2"/>
  <c r="O260" i="2" s="1"/>
  <c r="L260" i="2"/>
  <c r="L259" i="2"/>
  <c r="L258" i="2"/>
  <c r="O257" i="2"/>
  <c r="L257" i="2"/>
  <c r="N257" i="2" s="1"/>
  <c r="L256" i="2"/>
  <c r="L255" i="2"/>
  <c r="N255" i="2" s="1"/>
  <c r="O255" i="2" s="1"/>
  <c r="N254" i="2"/>
  <c r="L254" i="2"/>
  <c r="O254" i="2" s="1"/>
  <c r="L253" i="2"/>
  <c r="O252" i="2"/>
  <c r="N252" i="2"/>
  <c r="L252" i="2"/>
  <c r="L251" i="2"/>
  <c r="L250" i="2"/>
  <c r="N250" i="2" s="1"/>
  <c r="O250" i="2" s="1"/>
  <c r="O249" i="2"/>
  <c r="L249" i="2"/>
  <c r="N249" i="2" s="1"/>
  <c r="L248" i="2"/>
  <c r="N247" i="2"/>
  <c r="O247" i="2" s="1"/>
  <c r="L247" i="2"/>
  <c r="N246" i="2"/>
  <c r="L246" i="2"/>
  <c r="O246" i="2" s="1"/>
  <c r="L245" i="2"/>
  <c r="N245" i="2" s="1"/>
  <c r="O245" i="2" s="1"/>
  <c r="N244" i="2"/>
  <c r="O244" i="2" s="1"/>
  <c r="L244" i="2"/>
  <c r="L243" i="2"/>
  <c r="N243" i="2" s="1"/>
  <c r="L242" i="2"/>
  <c r="N242" i="2" s="1"/>
  <c r="O242" i="2" s="1"/>
  <c r="L241" i="2"/>
  <c r="N241" i="2" s="1"/>
  <c r="L240" i="2"/>
  <c r="O239" i="2"/>
  <c r="N239" i="2"/>
  <c r="L239" i="2"/>
  <c r="N238" i="2"/>
  <c r="L238" i="2"/>
  <c r="O238" i="2" s="1"/>
  <c r="L237" i="2"/>
  <c r="N237" i="2" s="1"/>
  <c r="O237" i="2" s="1"/>
  <c r="O236" i="2"/>
  <c r="N236" i="2"/>
  <c r="L236" i="2"/>
  <c r="L235" i="2"/>
  <c r="N235" i="2" s="1"/>
  <c r="L234" i="2"/>
  <c r="N234" i="2" s="1"/>
  <c r="O234" i="2" s="1"/>
  <c r="O233" i="2"/>
  <c r="L233" i="2"/>
  <c r="N233" i="2" s="1"/>
  <c r="L232" i="2"/>
  <c r="N231" i="2"/>
  <c r="O231" i="2" s="1"/>
  <c r="L231" i="2"/>
  <c r="N230" i="2"/>
  <c r="L230" i="2"/>
  <c r="O230" i="2" s="1"/>
  <c r="L229" i="2"/>
  <c r="N229" i="2" s="1"/>
  <c r="O229" i="2" s="1"/>
  <c r="N228" i="2"/>
  <c r="O228" i="2" s="1"/>
  <c r="L228" i="2"/>
  <c r="L227" i="2"/>
  <c r="N227" i="2" s="1"/>
  <c r="L226" i="2"/>
  <c r="N226" i="2" s="1"/>
  <c r="O226" i="2" s="1"/>
  <c r="L225" i="2"/>
  <c r="N225" i="2" s="1"/>
  <c r="L224" i="2"/>
  <c r="O223" i="2"/>
  <c r="N223" i="2"/>
  <c r="L223" i="2"/>
  <c r="N222" i="2"/>
  <c r="L222" i="2"/>
  <c r="O222" i="2" s="1"/>
  <c r="L221" i="2"/>
  <c r="N221" i="2" s="1"/>
  <c r="O221" i="2" s="1"/>
  <c r="O220" i="2"/>
  <c r="N220" i="2"/>
  <c r="L220" i="2"/>
  <c r="L219" i="2"/>
  <c r="N219" i="2" s="1"/>
  <c r="L218" i="2"/>
  <c r="N218" i="2" s="1"/>
  <c r="O218" i="2" s="1"/>
  <c r="O217" i="2"/>
  <c r="L217" i="2"/>
  <c r="N217" i="2" s="1"/>
  <c r="L216" i="2"/>
  <c r="N215" i="2"/>
  <c r="O215" i="2" s="1"/>
  <c r="L215" i="2"/>
  <c r="N214" i="2"/>
  <c r="L214" i="2"/>
  <c r="O214" i="2" s="1"/>
  <c r="L213" i="2"/>
  <c r="N213" i="2" s="1"/>
  <c r="O213" i="2" s="1"/>
  <c r="N212" i="2"/>
  <c r="O212" i="2" s="1"/>
  <c r="L212" i="2"/>
  <c r="L211" i="2"/>
  <c r="N211" i="2" s="1"/>
  <c r="L210" i="2"/>
  <c r="N210" i="2" s="1"/>
  <c r="O210" i="2" s="1"/>
  <c r="L209" i="2"/>
  <c r="N209" i="2" s="1"/>
  <c r="L208" i="2"/>
  <c r="O207" i="2"/>
  <c r="N207" i="2"/>
  <c r="L207" i="2"/>
  <c r="N206" i="2"/>
  <c r="L206" i="2"/>
  <c r="O206" i="2" s="1"/>
  <c r="L205" i="2"/>
  <c r="N205" i="2" s="1"/>
  <c r="O205" i="2" s="1"/>
  <c r="O204" i="2"/>
  <c r="N204" i="2"/>
  <c r="L204" i="2"/>
  <c r="L203" i="2"/>
  <c r="N203" i="2" s="1"/>
  <c r="L202" i="2"/>
  <c r="N202" i="2" s="1"/>
  <c r="O202" i="2" s="1"/>
  <c r="O201" i="2"/>
  <c r="L201" i="2"/>
  <c r="N201" i="2" s="1"/>
  <c r="L200" i="2"/>
  <c r="N199" i="2"/>
  <c r="O199" i="2" s="1"/>
  <c r="L199" i="2"/>
  <c r="N198" i="2"/>
  <c r="L198" i="2"/>
  <c r="O198" i="2" s="1"/>
  <c r="L197" i="2"/>
  <c r="N197" i="2" s="1"/>
  <c r="O197" i="2" s="1"/>
  <c r="N196" i="2"/>
  <c r="O196" i="2" s="1"/>
  <c r="L196" i="2"/>
  <c r="L195" i="2"/>
  <c r="N195" i="2" s="1"/>
  <c r="L194" i="2"/>
  <c r="N194" i="2" s="1"/>
  <c r="O194" i="2" s="1"/>
  <c r="L193" i="2"/>
  <c r="N193" i="2" s="1"/>
  <c r="L192" i="2"/>
  <c r="O191" i="2"/>
  <c r="N191" i="2"/>
  <c r="L191" i="2"/>
  <c r="N190" i="2"/>
  <c r="L190" i="2"/>
  <c r="O190" i="2" s="1"/>
  <c r="L189" i="2"/>
  <c r="N189" i="2" s="1"/>
  <c r="O189" i="2" s="1"/>
  <c r="O188" i="2"/>
  <c r="N188" i="2"/>
  <c r="L188" i="2"/>
  <c r="L187" i="2"/>
  <c r="N187" i="2" s="1"/>
  <c r="L186" i="2"/>
  <c r="N186" i="2" s="1"/>
  <c r="O186" i="2" s="1"/>
  <c r="O185" i="2"/>
  <c r="L185" i="2"/>
  <c r="N185" i="2" s="1"/>
  <c r="L184" i="2"/>
  <c r="N183" i="2"/>
  <c r="O183" i="2" s="1"/>
  <c r="L183" i="2"/>
  <c r="N182" i="2"/>
  <c r="L182" i="2"/>
  <c r="O182" i="2" s="1"/>
  <c r="L181" i="2"/>
  <c r="N181" i="2" s="1"/>
  <c r="O181" i="2" s="1"/>
  <c r="N180" i="2"/>
  <c r="O180" i="2" s="1"/>
  <c r="L180" i="2"/>
  <c r="L179" i="2"/>
  <c r="N179" i="2" s="1"/>
  <c r="L178" i="2"/>
  <c r="N178" i="2" s="1"/>
  <c r="O178" i="2" s="1"/>
  <c r="L177" i="2"/>
  <c r="N177" i="2" s="1"/>
  <c r="L176" i="2"/>
  <c r="O175" i="2"/>
  <c r="N175" i="2"/>
  <c r="L175" i="2"/>
  <c r="N174" i="2"/>
  <c r="L174" i="2"/>
  <c r="O174" i="2" s="1"/>
  <c r="L173" i="2"/>
  <c r="N173" i="2" s="1"/>
  <c r="O173" i="2" s="1"/>
  <c r="O172" i="2"/>
  <c r="N172" i="2"/>
  <c r="L172" i="2"/>
  <c r="L171" i="2"/>
  <c r="N171" i="2" s="1"/>
  <c r="L170" i="2"/>
  <c r="N170" i="2" s="1"/>
  <c r="O170" i="2" s="1"/>
  <c r="O169" i="2"/>
  <c r="L169" i="2"/>
  <c r="N169" i="2" s="1"/>
  <c r="L168" i="2"/>
  <c r="N167" i="2"/>
  <c r="O167" i="2" s="1"/>
  <c r="L167" i="2"/>
  <c r="N166" i="2"/>
  <c r="L166" i="2"/>
  <c r="O166" i="2" s="1"/>
  <c r="L165" i="2"/>
  <c r="N165" i="2" s="1"/>
  <c r="O165" i="2" s="1"/>
  <c r="N164" i="2"/>
  <c r="O164" i="2" s="1"/>
  <c r="L164" i="2"/>
  <c r="L163" i="2"/>
  <c r="N163" i="2" s="1"/>
  <c r="L162" i="2"/>
  <c r="N162" i="2" s="1"/>
  <c r="O162" i="2" s="1"/>
  <c r="L161" i="2"/>
  <c r="N161" i="2" s="1"/>
  <c r="L160" i="2"/>
  <c r="O159" i="2"/>
  <c r="N159" i="2"/>
  <c r="L159" i="2"/>
  <c r="N158" i="2"/>
  <c r="L158" i="2"/>
  <c r="O158" i="2" s="1"/>
  <c r="L157" i="2"/>
  <c r="N157" i="2" s="1"/>
  <c r="O157" i="2" s="1"/>
  <c r="O156" i="2"/>
  <c r="N156" i="2"/>
  <c r="L156" i="2"/>
  <c r="L155" i="2"/>
  <c r="N155" i="2" s="1"/>
  <c r="L154" i="2"/>
  <c r="N154" i="2" s="1"/>
  <c r="O154" i="2" s="1"/>
  <c r="O153" i="2"/>
  <c r="L153" i="2"/>
  <c r="N153" i="2" s="1"/>
  <c r="L152" i="2"/>
  <c r="N151" i="2"/>
  <c r="O151" i="2" s="1"/>
  <c r="L151" i="2"/>
  <c r="N150" i="2"/>
  <c r="L150" i="2"/>
  <c r="O150" i="2" s="1"/>
  <c r="L149" i="2"/>
  <c r="N149" i="2" s="1"/>
  <c r="O149" i="2" s="1"/>
  <c r="N148" i="2"/>
  <c r="O148" i="2" s="1"/>
  <c r="L148" i="2"/>
  <c r="L147" i="2"/>
  <c r="N147" i="2" s="1"/>
  <c r="L146" i="2"/>
  <c r="N146" i="2" s="1"/>
  <c r="O146" i="2" s="1"/>
  <c r="L145" i="2"/>
  <c r="N145" i="2" s="1"/>
  <c r="L144" i="2"/>
  <c r="O143" i="2"/>
  <c r="N143" i="2"/>
  <c r="L143" i="2"/>
  <c r="L142" i="2"/>
  <c r="L141" i="2"/>
  <c r="N141" i="2" s="1"/>
  <c r="O141" i="2" s="1"/>
  <c r="O140" i="2"/>
  <c r="N140" i="2"/>
  <c r="L140" i="2"/>
  <c r="L139" i="2"/>
  <c r="L138" i="2"/>
  <c r="L137" i="2"/>
  <c r="N137" i="2" s="1"/>
  <c r="O137" i="2" s="1"/>
  <c r="N136" i="2"/>
  <c r="O136" i="2" s="1"/>
  <c r="L136" i="2"/>
  <c r="N135" i="2"/>
  <c r="L135" i="2"/>
  <c r="O135" i="2" s="1"/>
  <c r="L134" i="2"/>
  <c r="L133" i="2"/>
  <c r="N133" i="2" s="1"/>
  <c r="O133" i="2" s="1"/>
  <c r="O132" i="2"/>
  <c r="N132" i="2"/>
  <c r="L132" i="2"/>
  <c r="L131" i="2"/>
  <c r="L130" i="2"/>
  <c r="L129" i="2"/>
  <c r="N129" i="2" s="1"/>
  <c r="O129" i="2" s="1"/>
  <c r="N128" i="2"/>
  <c r="O128" i="2" s="1"/>
  <c r="L128" i="2"/>
  <c r="N127" i="2"/>
  <c r="L127" i="2"/>
  <c r="O127" i="2" s="1"/>
  <c r="L126" i="2"/>
  <c r="L125" i="2"/>
  <c r="N125" i="2" s="1"/>
  <c r="O125" i="2" s="1"/>
  <c r="O124" i="2"/>
  <c r="N124" i="2"/>
  <c r="L124" i="2"/>
  <c r="L123" i="2"/>
  <c r="L122" i="2"/>
  <c r="L121" i="2"/>
  <c r="N121" i="2" s="1"/>
  <c r="O121" i="2" s="1"/>
  <c r="N120" i="2"/>
  <c r="O120" i="2" s="1"/>
  <c r="L120" i="2"/>
  <c r="N119" i="2"/>
  <c r="L119" i="2"/>
  <c r="O119" i="2" s="1"/>
  <c r="L118" i="2"/>
  <c r="L117" i="2"/>
  <c r="N117" i="2" s="1"/>
  <c r="O117" i="2" s="1"/>
  <c r="O116" i="2"/>
  <c r="N116" i="2"/>
  <c r="L116" i="2"/>
  <c r="L115" i="2"/>
  <c r="L114" i="2"/>
  <c r="L113" i="2"/>
  <c r="N113" i="2" s="1"/>
  <c r="O113" i="2" s="1"/>
  <c r="N112" i="2"/>
  <c r="O112" i="2" s="1"/>
  <c r="L112" i="2"/>
  <c r="N111" i="2"/>
  <c r="L111" i="2"/>
  <c r="O111" i="2" s="1"/>
  <c r="L110" i="2"/>
  <c r="L109" i="2"/>
  <c r="N109" i="2" s="1"/>
  <c r="O109" i="2" s="1"/>
  <c r="O108" i="2"/>
  <c r="N108" i="2"/>
  <c r="L108" i="2"/>
  <c r="L107" i="2"/>
  <c r="L106" i="2"/>
  <c r="L105" i="2"/>
  <c r="N105" i="2" s="1"/>
  <c r="O105" i="2" s="1"/>
  <c r="N104" i="2"/>
  <c r="O104" i="2" s="1"/>
  <c r="L104" i="2"/>
  <c r="N103" i="2"/>
  <c r="L103" i="2"/>
  <c r="O103" i="2" s="1"/>
  <c r="L102" i="2"/>
  <c r="L101" i="2"/>
  <c r="N101" i="2" s="1"/>
  <c r="O101" i="2" s="1"/>
  <c r="O100" i="2"/>
  <c r="N100" i="2"/>
  <c r="L100" i="2"/>
  <c r="L99" i="2"/>
  <c r="L98" i="2"/>
  <c r="L97" i="2"/>
  <c r="N97" i="2" s="1"/>
  <c r="O97" i="2" s="1"/>
  <c r="N96" i="2"/>
  <c r="O96" i="2" s="1"/>
  <c r="L96" i="2"/>
  <c r="N95" i="2"/>
  <c r="L95" i="2"/>
  <c r="O95" i="2" s="1"/>
  <c r="L94" i="2"/>
  <c r="L93" i="2"/>
  <c r="N93" i="2" s="1"/>
  <c r="O93" i="2" s="1"/>
  <c r="O92" i="2"/>
  <c r="N92" i="2"/>
  <c r="L92" i="2"/>
  <c r="L91" i="2"/>
  <c r="L90" i="2"/>
  <c r="L89" i="2"/>
  <c r="N89" i="2" s="1"/>
  <c r="O89" i="2" s="1"/>
  <c r="N88" i="2"/>
  <c r="O88" i="2" s="1"/>
  <c r="L88" i="2"/>
  <c r="N87" i="2"/>
  <c r="L87" i="2"/>
  <c r="O87" i="2" s="1"/>
  <c r="L86" i="2"/>
  <c r="L85" i="2"/>
  <c r="N85" i="2" s="1"/>
  <c r="O85" i="2" s="1"/>
  <c r="O84" i="2"/>
  <c r="N84" i="2"/>
  <c r="L84" i="2"/>
  <c r="L83" i="2"/>
  <c r="L82" i="2"/>
  <c r="L81" i="2"/>
  <c r="N81" i="2" s="1"/>
  <c r="O81" i="2" s="1"/>
  <c r="N80" i="2"/>
  <c r="O80" i="2" s="1"/>
  <c r="L80" i="2"/>
  <c r="N79" i="2"/>
  <c r="L79" i="2"/>
  <c r="O79" i="2" s="1"/>
  <c r="L78" i="2"/>
  <c r="L77" i="2"/>
  <c r="N77" i="2" s="1"/>
  <c r="O77" i="2" s="1"/>
  <c r="O76" i="2"/>
  <c r="N76" i="2"/>
  <c r="L76" i="2"/>
  <c r="L75" i="2"/>
  <c r="L74" i="2"/>
  <c r="L73" i="2"/>
  <c r="N73" i="2" s="1"/>
  <c r="O73" i="2" s="1"/>
  <c r="N72" i="2"/>
  <c r="O72" i="2" s="1"/>
  <c r="L72" i="2"/>
  <c r="N71" i="2"/>
  <c r="L71" i="2"/>
  <c r="O71" i="2" s="1"/>
  <c r="L70" i="2"/>
  <c r="L69" i="2"/>
  <c r="N69" i="2" s="1"/>
  <c r="O69" i="2" s="1"/>
  <c r="O68" i="2"/>
  <c r="N68" i="2"/>
  <c r="L68" i="2"/>
  <c r="L67" i="2"/>
  <c r="L66" i="2"/>
  <c r="L65" i="2"/>
  <c r="N65" i="2" s="1"/>
  <c r="O65" i="2" s="1"/>
  <c r="N64" i="2"/>
  <c r="O64" i="2" s="1"/>
  <c r="L64" i="2"/>
  <c r="N63" i="2"/>
  <c r="L63" i="2"/>
  <c r="O63" i="2" s="1"/>
  <c r="L62" i="2"/>
  <c r="L61" i="2"/>
  <c r="N61" i="2" s="1"/>
  <c r="O61" i="2" s="1"/>
  <c r="O60" i="2"/>
  <c r="N60" i="2"/>
  <c r="L60" i="2"/>
  <c r="L59" i="2"/>
  <c r="L58" i="2"/>
  <c r="L57" i="2"/>
  <c r="N57" i="2" s="1"/>
  <c r="O57" i="2" s="1"/>
  <c r="N56" i="2"/>
  <c r="O56" i="2" s="1"/>
  <c r="L56" i="2"/>
  <c r="N55" i="2"/>
  <c r="L55" i="2"/>
  <c r="O55" i="2" s="1"/>
  <c r="L54" i="2"/>
  <c r="L53" i="2"/>
  <c r="N53" i="2" s="1"/>
  <c r="O53" i="2" s="1"/>
  <c r="O52" i="2"/>
  <c r="N52" i="2"/>
  <c r="L52" i="2"/>
  <c r="L51" i="2"/>
  <c r="L50" i="2"/>
  <c r="L49" i="2"/>
  <c r="N49" i="2" s="1"/>
  <c r="O49" i="2" s="1"/>
  <c r="N48" i="2"/>
  <c r="O48" i="2" s="1"/>
  <c r="L48" i="2"/>
  <c r="N47" i="2"/>
  <c r="L47" i="2"/>
  <c r="O47" i="2" s="1"/>
  <c r="L46" i="2"/>
  <c r="L45" i="2"/>
  <c r="N45" i="2" s="1"/>
  <c r="O45" i="2" s="1"/>
  <c r="O44" i="2"/>
  <c r="N44" i="2"/>
  <c r="L44" i="2"/>
  <c r="L43" i="2"/>
  <c r="L42" i="2"/>
  <c r="L41" i="2"/>
  <c r="N41" i="2" s="1"/>
  <c r="O41" i="2" s="1"/>
  <c r="N40" i="2"/>
  <c r="O40" i="2" s="1"/>
  <c r="L40" i="2"/>
  <c r="N39" i="2"/>
  <c r="L39" i="2"/>
  <c r="O39" i="2" s="1"/>
  <c r="L38" i="2"/>
  <c r="L37" i="2"/>
  <c r="N37" i="2" s="1"/>
  <c r="O37" i="2" s="1"/>
  <c r="O36" i="2"/>
  <c r="N36" i="2"/>
  <c r="L36" i="2"/>
  <c r="L35" i="2"/>
  <c r="L34" i="2"/>
  <c r="L33" i="2"/>
  <c r="N33" i="2" s="1"/>
  <c r="O33" i="2" s="1"/>
  <c r="N32" i="2"/>
  <c r="O32" i="2" s="1"/>
  <c r="L32" i="2"/>
  <c r="N31" i="2"/>
  <c r="L31" i="2"/>
  <c r="O31" i="2" s="1"/>
  <c r="L30" i="2"/>
  <c r="L29" i="2"/>
  <c r="N29" i="2" s="1"/>
  <c r="O29" i="2" s="1"/>
  <c r="O28" i="2"/>
  <c r="N28" i="2"/>
  <c r="L28" i="2"/>
  <c r="L27" i="2"/>
  <c r="L26" i="2"/>
  <c r="L25" i="2"/>
  <c r="N25" i="2" s="1"/>
  <c r="O25" i="2" s="1"/>
  <c r="N24" i="2"/>
  <c r="O24" i="2" s="1"/>
  <c r="L24" i="2"/>
  <c r="N23" i="2"/>
  <c r="L23" i="2"/>
  <c r="O23" i="2" s="1"/>
  <c r="L22" i="2"/>
  <c r="L21" i="2"/>
  <c r="N21" i="2" s="1"/>
  <c r="O21" i="2" s="1"/>
  <c r="O20" i="2"/>
  <c r="N20" i="2"/>
  <c r="L20" i="2"/>
  <c r="L19" i="2"/>
  <c r="L18" i="2"/>
  <c r="L17" i="2"/>
  <c r="N17" i="2" s="1"/>
  <c r="O17" i="2" s="1"/>
  <c r="N16" i="2"/>
  <c r="O16" i="2" s="1"/>
  <c r="L16" i="2"/>
  <c r="N15" i="2"/>
  <c r="L15" i="2"/>
  <c r="O15" i="2" s="1"/>
  <c r="L14" i="2"/>
  <c r="L13" i="2"/>
  <c r="N13" i="2" s="1"/>
  <c r="O13" i="2" s="1"/>
  <c r="O12" i="2"/>
  <c r="N12" i="2"/>
  <c r="L12" i="2"/>
  <c r="L11" i="2"/>
  <c r="L10" i="2"/>
  <c r="L9" i="2"/>
  <c r="N9" i="2" s="1"/>
  <c r="O9" i="2" s="1"/>
  <c r="N8" i="2"/>
  <c r="O8" i="2" s="1"/>
  <c r="L8" i="2"/>
  <c r="N7" i="2"/>
  <c r="L7" i="2"/>
  <c r="O7" i="2" s="1"/>
  <c r="L6" i="2"/>
  <c r="L5" i="2"/>
  <c r="N5" i="2" s="1"/>
  <c r="O5" i="2" s="1"/>
  <c r="O4" i="2"/>
  <c r="N4" i="2"/>
  <c r="L4" i="2"/>
  <c r="L3" i="2"/>
  <c r="L2" i="2"/>
  <c r="O66" i="2" l="1"/>
  <c r="O290" i="2"/>
  <c r="O19" i="2"/>
  <c r="O35" i="2"/>
  <c r="O99" i="2"/>
  <c r="O285" i="2"/>
  <c r="O54" i="2"/>
  <c r="O62" i="2"/>
  <c r="O110" i="2"/>
  <c r="O126" i="2"/>
  <c r="O118" i="2"/>
  <c r="O26" i="2"/>
  <c r="O90" i="2"/>
  <c r="O122" i="2"/>
  <c r="O43" i="2"/>
  <c r="O91" i="2"/>
  <c r="O107" i="2"/>
  <c r="N283" i="2"/>
  <c r="O283" i="2" s="1"/>
  <c r="O331" i="2"/>
  <c r="N331" i="2"/>
  <c r="N419" i="2"/>
  <c r="O419" i="2" s="1"/>
  <c r="N713" i="2"/>
  <c r="O713" i="2" s="1"/>
  <c r="N2" i="2"/>
  <c r="O2" i="2" s="1"/>
  <c r="N10" i="2"/>
  <c r="O10" i="2" s="1"/>
  <c r="N18" i="2"/>
  <c r="O18" i="2" s="1"/>
  <c r="N26" i="2"/>
  <c r="N34" i="2"/>
  <c r="O34" i="2" s="1"/>
  <c r="N42" i="2"/>
  <c r="O42" i="2" s="1"/>
  <c r="N50" i="2"/>
  <c r="O50" i="2" s="1"/>
  <c r="N58" i="2"/>
  <c r="O58" i="2" s="1"/>
  <c r="N66" i="2"/>
  <c r="N74" i="2"/>
  <c r="O74" i="2" s="1"/>
  <c r="N82" i="2"/>
  <c r="O82" i="2" s="1"/>
  <c r="N90" i="2"/>
  <c r="N98" i="2"/>
  <c r="O98" i="2" s="1"/>
  <c r="N106" i="2"/>
  <c r="O106" i="2" s="1"/>
  <c r="N114" i="2"/>
  <c r="O114" i="2" s="1"/>
  <c r="N122" i="2"/>
  <c r="N130" i="2"/>
  <c r="O130" i="2" s="1"/>
  <c r="N138" i="2"/>
  <c r="O138" i="2" s="1"/>
  <c r="O144" i="2"/>
  <c r="O147" i="2"/>
  <c r="O163" i="2"/>
  <c r="O176" i="2"/>
  <c r="O179" i="2"/>
  <c r="O195" i="2"/>
  <c r="O211" i="2"/>
  <c r="O227" i="2"/>
  <c r="O240" i="2"/>
  <c r="O243" i="2"/>
  <c r="N253" i="2"/>
  <c r="O253" i="2" s="1"/>
  <c r="N256" i="2"/>
  <c r="O256" i="2" s="1"/>
  <c r="N263" i="2"/>
  <c r="O263" i="2" s="1"/>
  <c r="N290" i="2"/>
  <c r="N339" i="2"/>
  <c r="O339" i="2" s="1"/>
  <c r="O346" i="2"/>
  <c r="N376" i="2"/>
  <c r="O376" i="2" s="1"/>
  <c r="N403" i="2"/>
  <c r="O403" i="2" s="1"/>
  <c r="N411" i="2"/>
  <c r="O411" i="2" s="1"/>
  <c r="O415" i="2"/>
  <c r="N415" i="2"/>
  <c r="N548" i="2"/>
  <c r="O548" i="2" s="1"/>
  <c r="O626" i="2"/>
  <c r="N626" i="2"/>
  <c r="N631" i="2"/>
  <c r="O631" i="2" s="1"/>
  <c r="N699" i="2"/>
  <c r="O699" i="2" s="1"/>
  <c r="N933" i="2"/>
  <c r="O933" i="2" s="1"/>
  <c r="O327" i="2"/>
  <c r="N423" i="2"/>
  <c r="O423" i="2" s="1"/>
  <c r="N997" i="2"/>
  <c r="O997" i="2" s="1"/>
  <c r="N144" i="2"/>
  <c r="N160" i="2"/>
  <c r="O160" i="2" s="1"/>
  <c r="N176" i="2"/>
  <c r="N192" i="2"/>
  <c r="O192" i="2" s="1"/>
  <c r="N208" i="2"/>
  <c r="O208" i="2" s="1"/>
  <c r="N224" i="2"/>
  <c r="O224" i="2" s="1"/>
  <c r="N240" i="2"/>
  <c r="N267" i="2"/>
  <c r="O267" i="2" s="1"/>
  <c r="N280" i="2"/>
  <c r="O280" i="2" s="1"/>
  <c r="N320" i="2"/>
  <c r="O320" i="2" s="1"/>
  <c r="O328" i="2"/>
  <c r="N335" i="2"/>
  <c r="O335" i="2" s="1"/>
  <c r="O343" i="2"/>
  <c r="N347" i="2"/>
  <c r="O347" i="2" s="1"/>
  <c r="O354" i="2"/>
  <c r="N384" i="2"/>
  <c r="O384" i="2" s="1"/>
  <c r="O392" i="2"/>
  <c r="N399" i="2"/>
  <c r="O399" i="2" s="1"/>
  <c r="O407" i="2"/>
  <c r="N407" i="2"/>
  <c r="O416" i="2"/>
  <c r="N424" i="2"/>
  <c r="O424" i="2" s="1"/>
  <c r="O869" i="2"/>
  <c r="N869" i="2"/>
  <c r="O938" i="2"/>
  <c r="N938" i="2"/>
  <c r="O391" i="2"/>
  <c r="N291" i="2"/>
  <c r="O291" i="2" s="1"/>
  <c r="O355" i="2"/>
  <c r="N355" i="2"/>
  <c r="N444" i="2"/>
  <c r="O444" i="2" s="1"/>
  <c r="N460" i="2"/>
  <c r="O460" i="2" s="1"/>
  <c r="O476" i="2"/>
  <c r="N476" i="2"/>
  <c r="N492" i="2"/>
  <c r="O492" i="2" s="1"/>
  <c r="N508" i="2"/>
  <c r="O508" i="2" s="1"/>
  <c r="N524" i="2"/>
  <c r="O524" i="2" s="1"/>
  <c r="O564" i="2"/>
  <c r="N564" i="2"/>
  <c r="N805" i="2"/>
  <c r="O805" i="2" s="1"/>
  <c r="O874" i="2"/>
  <c r="N874" i="2"/>
  <c r="N3" i="2"/>
  <c r="O3" i="2" s="1"/>
  <c r="N11" i="2"/>
  <c r="O11" i="2" s="1"/>
  <c r="N19" i="2"/>
  <c r="N27" i="2"/>
  <c r="O27" i="2" s="1"/>
  <c r="N35" i="2"/>
  <c r="N43" i="2"/>
  <c r="N51" i="2"/>
  <c r="O51" i="2" s="1"/>
  <c r="N59" i="2"/>
  <c r="O59" i="2" s="1"/>
  <c r="N67" i="2"/>
  <c r="O67" i="2" s="1"/>
  <c r="N75" i="2"/>
  <c r="O75" i="2" s="1"/>
  <c r="N83" i="2"/>
  <c r="O83" i="2" s="1"/>
  <c r="N91" i="2"/>
  <c r="N99" i="2"/>
  <c r="N107" i="2"/>
  <c r="N115" i="2"/>
  <c r="O115" i="2" s="1"/>
  <c r="N123" i="2"/>
  <c r="O123" i="2" s="1"/>
  <c r="N131" i="2"/>
  <c r="O131" i="2" s="1"/>
  <c r="N139" i="2"/>
  <c r="O139" i="2" s="1"/>
  <c r="O142" i="2"/>
  <c r="O145" i="2"/>
  <c r="O161" i="2"/>
  <c r="O177" i="2"/>
  <c r="O193" i="2"/>
  <c r="O209" i="2"/>
  <c r="O225" i="2"/>
  <c r="O241" i="2"/>
  <c r="O251" i="2"/>
  <c r="N251" i="2"/>
  <c r="N261" i="2"/>
  <c r="O261" i="2" s="1"/>
  <c r="N264" i="2"/>
  <c r="O264" i="2" s="1"/>
  <c r="N271" i="2"/>
  <c r="O271" i="2" s="1"/>
  <c r="O299" i="2"/>
  <c r="N299" i="2"/>
  <c r="O306" i="2"/>
  <c r="N336" i="2"/>
  <c r="O336" i="2" s="1"/>
  <c r="O344" i="2"/>
  <c r="N351" i="2"/>
  <c r="O351" i="2" s="1"/>
  <c r="N363" i="2"/>
  <c r="O363" i="2" s="1"/>
  <c r="O370" i="2"/>
  <c r="N400" i="2"/>
  <c r="O400" i="2" s="1"/>
  <c r="N408" i="2"/>
  <c r="O408" i="2" s="1"/>
  <c r="N540" i="2"/>
  <c r="O540" i="2" s="1"/>
  <c r="O767" i="2"/>
  <c r="O781" i="2"/>
  <c r="N781" i="2"/>
  <c r="N810" i="2"/>
  <c r="O810" i="2" s="1"/>
  <c r="N6" i="2"/>
  <c r="O6" i="2" s="1"/>
  <c r="N14" i="2"/>
  <c r="O14" i="2" s="1"/>
  <c r="N22" i="2"/>
  <c r="O22" i="2" s="1"/>
  <c r="N30" i="2"/>
  <c r="O30" i="2" s="1"/>
  <c r="N38" i="2"/>
  <c r="O38" i="2" s="1"/>
  <c r="N46" i="2"/>
  <c r="O46" i="2" s="1"/>
  <c r="N54" i="2"/>
  <c r="N62" i="2"/>
  <c r="N70" i="2"/>
  <c r="O70" i="2" s="1"/>
  <c r="N78" i="2"/>
  <c r="O78" i="2" s="1"/>
  <c r="N86" i="2"/>
  <c r="O86" i="2" s="1"/>
  <c r="N94" i="2"/>
  <c r="O94" i="2" s="1"/>
  <c r="N102" i="2"/>
  <c r="O102" i="2" s="1"/>
  <c r="N110" i="2"/>
  <c r="N118" i="2"/>
  <c r="N126" i="2"/>
  <c r="N134" i="2"/>
  <c r="O134" i="2" s="1"/>
  <c r="N142" i="2"/>
  <c r="O155" i="2"/>
  <c r="O168" i="2"/>
  <c r="O171" i="2"/>
  <c r="O187" i="2"/>
  <c r="O200" i="2"/>
  <c r="O203" i="2"/>
  <c r="O219" i="2"/>
  <c r="O235" i="2"/>
  <c r="N258" i="2"/>
  <c r="O258" i="2" s="1"/>
  <c r="O275" i="2"/>
  <c r="N275" i="2"/>
  <c r="N285" i="2"/>
  <c r="N288" i="2"/>
  <c r="O288" i="2" s="1"/>
  <c r="N295" i="2"/>
  <c r="O295" i="2" s="1"/>
  <c r="N307" i="2"/>
  <c r="O307" i="2" s="1"/>
  <c r="O314" i="2"/>
  <c r="N344" i="2"/>
  <c r="N359" i="2"/>
  <c r="O359" i="2" s="1"/>
  <c r="O367" i="2"/>
  <c r="N371" i="2"/>
  <c r="O371" i="2" s="1"/>
  <c r="O378" i="2"/>
  <c r="O594" i="2"/>
  <c r="N594" i="2"/>
  <c r="N599" i="2"/>
  <c r="O599" i="2" s="1"/>
  <c r="N762" i="2"/>
  <c r="O762" i="2" s="1"/>
  <c r="O777" i="2"/>
  <c r="N152" i="2"/>
  <c r="O152" i="2" s="1"/>
  <c r="N168" i="2"/>
  <c r="N184" i="2"/>
  <c r="O184" i="2" s="1"/>
  <c r="N200" i="2"/>
  <c r="N216" i="2"/>
  <c r="O216" i="2" s="1"/>
  <c r="N232" i="2"/>
  <c r="O232" i="2" s="1"/>
  <c r="N248" i="2"/>
  <c r="O248" i="2" s="1"/>
  <c r="O272" i="2"/>
  <c r="O296" i="2"/>
  <c r="N303" i="2"/>
  <c r="O303" i="2" s="1"/>
  <c r="O311" i="2"/>
  <c r="N315" i="2"/>
  <c r="O315" i="2" s="1"/>
  <c r="O322" i="2"/>
  <c r="N352" i="2"/>
  <c r="O352" i="2" s="1"/>
  <c r="O360" i="2"/>
  <c r="N367" i="2"/>
  <c r="O375" i="2"/>
  <c r="O379" i="2"/>
  <c r="N379" i="2"/>
  <c r="O386" i="2"/>
  <c r="O427" i="2"/>
  <c r="N427" i="2"/>
  <c r="N556" i="2"/>
  <c r="O556" i="2" s="1"/>
  <c r="O589" i="2"/>
  <c r="N721" i="2"/>
  <c r="O721" i="2"/>
  <c r="O312" i="2"/>
  <c r="O395" i="2"/>
  <c r="N395" i="2"/>
  <c r="N259" i="2"/>
  <c r="O259" i="2" s="1"/>
  <c r="O304" i="2"/>
  <c r="O319" i="2"/>
  <c r="N323" i="2"/>
  <c r="O323" i="2" s="1"/>
  <c r="O368" i="2"/>
  <c r="O383" i="2"/>
  <c r="N387" i="2"/>
  <c r="O387" i="2" s="1"/>
  <c r="O432" i="2"/>
  <c r="N436" i="2"/>
  <c r="O436" i="2" s="1"/>
  <c r="O452" i="2"/>
  <c r="N452" i="2"/>
  <c r="N468" i="2"/>
  <c r="O468" i="2" s="1"/>
  <c r="N484" i="2"/>
  <c r="O484" i="2" s="1"/>
  <c r="N500" i="2"/>
  <c r="O500" i="2" s="1"/>
  <c r="O516" i="2"/>
  <c r="N516" i="2"/>
  <c r="N532" i="2"/>
  <c r="O532" i="2" s="1"/>
  <c r="N703" i="2"/>
  <c r="O703" i="2" s="1"/>
  <c r="N717" i="2"/>
  <c r="O717" i="2" s="1"/>
  <c r="O590" i="2"/>
  <c r="O674" i="2"/>
  <c r="N773" i="2"/>
  <c r="O773" i="2" s="1"/>
  <c r="O929" i="2"/>
  <c r="N586" i="2"/>
  <c r="O586" i="2" s="1"/>
  <c r="N618" i="2"/>
  <c r="O618" i="2" s="1"/>
  <c r="O623" i="2"/>
  <c r="N658" i="2"/>
  <c r="O658" i="2" s="1"/>
  <c r="N759" i="2"/>
  <c r="O759" i="2" s="1"/>
  <c r="N797" i="2"/>
  <c r="O797" i="2" s="1"/>
  <c r="O861" i="2"/>
  <c r="N861" i="2"/>
  <c r="N925" i="2"/>
  <c r="O925" i="2" s="1"/>
  <c r="N989" i="2"/>
  <c r="O989" i="2" s="1"/>
  <c r="O453" i="2"/>
  <c r="O461" i="2"/>
  <c r="O493" i="2"/>
  <c r="O517" i="2"/>
  <c r="O525" i="2"/>
  <c r="O557" i="2"/>
  <c r="O582" i="2"/>
  <c r="N591" i="2"/>
  <c r="O591" i="2" s="1"/>
  <c r="N623" i="2"/>
  <c r="N650" i="2"/>
  <c r="O650" i="2" s="1"/>
  <c r="N574" i="2"/>
  <c r="O574" i="2" s="1"/>
  <c r="O578" i="2"/>
  <c r="N578" i="2"/>
  <c r="O583" i="2"/>
  <c r="O610" i="2"/>
  <c r="N610" i="2"/>
  <c r="O615" i="2"/>
  <c r="O642" i="2"/>
  <c r="N642" i="2"/>
  <c r="O655" i="2"/>
  <c r="O671" i="2"/>
  <c r="N671" i="2"/>
  <c r="O706" i="2"/>
  <c r="O751" i="2"/>
  <c r="O770" i="2"/>
  <c r="N770" i="2"/>
  <c r="N431" i="2"/>
  <c r="O431" i="2" s="1"/>
  <c r="N434" i="2"/>
  <c r="O434" i="2" s="1"/>
  <c r="O438" i="2"/>
  <c r="N442" i="2"/>
  <c r="O442" i="2" s="1"/>
  <c r="O446" i="2"/>
  <c r="N450" i="2"/>
  <c r="O450" i="2" s="1"/>
  <c r="O454" i="2"/>
  <c r="O458" i="2"/>
  <c r="N458" i="2"/>
  <c r="O462" i="2"/>
  <c r="O466" i="2"/>
  <c r="N466" i="2"/>
  <c r="O470" i="2"/>
  <c r="N474" i="2"/>
  <c r="O474" i="2" s="1"/>
  <c r="O478" i="2"/>
  <c r="N482" i="2"/>
  <c r="O482" i="2" s="1"/>
  <c r="O486" i="2"/>
  <c r="O490" i="2"/>
  <c r="N490" i="2"/>
  <c r="O494" i="2"/>
  <c r="N498" i="2"/>
  <c r="O498" i="2" s="1"/>
  <c r="O502" i="2"/>
  <c r="N506" i="2"/>
  <c r="O506" i="2" s="1"/>
  <c r="O510" i="2"/>
  <c r="N514" i="2"/>
  <c r="O514" i="2" s="1"/>
  <c r="O518" i="2"/>
  <c r="O522" i="2"/>
  <c r="N522" i="2"/>
  <c r="N530" i="2"/>
  <c r="O530" i="2" s="1"/>
  <c r="O538" i="2"/>
  <c r="N538" i="2"/>
  <c r="N546" i="2"/>
  <c r="O546" i="2" s="1"/>
  <c r="O554" i="2"/>
  <c r="N554" i="2"/>
  <c r="N562" i="2"/>
  <c r="O562" i="2" s="1"/>
  <c r="O570" i="2"/>
  <c r="N570" i="2"/>
  <c r="O638" i="2"/>
  <c r="O882" i="2"/>
  <c r="O946" i="2"/>
  <c r="O435" i="2"/>
  <c r="O439" i="2"/>
  <c r="O443" i="2"/>
  <c r="O447" i="2"/>
  <c r="O451" i="2"/>
  <c r="O455" i="2"/>
  <c r="O459" i="2"/>
  <c r="O463" i="2"/>
  <c r="O467" i="2"/>
  <c r="O471" i="2"/>
  <c r="O475" i="2"/>
  <c r="O479" i="2"/>
  <c r="O483" i="2"/>
  <c r="O487" i="2"/>
  <c r="O491" i="2"/>
  <c r="O495" i="2"/>
  <c r="O499" i="2"/>
  <c r="O503" i="2"/>
  <c r="O507" i="2"/>
  <c r="O511" i="2"/>
  <c r="O515" i="2"/>
  <c r="O519" i="2"/>
  <c r="O523" i="2"/>
  <c r="O527" i="2"/>
  <c r="O531" i="2"/>
  <c r="O535" i="2"/>
  <c r="O539" i="2"/>
  <c r="O543" i="2"/>
  <c r="O547" i="2"/>
  <c r="O551" i="2"/>
  <c r="O555" i="2"/>
  <c r="O559" i="2"/>
  <c r="O563" i="2"/>
  <c r="O567" i="2"/>
  <c r="O571" i="2"/>
  <c r="N575" i="2"/>
  <c r="O575" i="2" s="1"/>
  <c r="N602" i="2"/>
  <c r="O602" i="2" s="1"/>
  <c r="O607" i="2"/>
  <c r="N634" i="2"/>
  <c r="O634" i="2" s="1"/>
  <c r="O639" i="2"/>
  <c r="N647" i="2"/>
  <c r="O647" i="2" s="1"/>
  <c r="O667" i="2"/>
  <c r="O681" i="2"/>
  <c r="N685" i="2"/>
  <c r="O685" i="2" s="1"/>
  <c r="N785" i="2"/>
  <c r="O785" i="2"/>
  <c r="N818" i="2"/>
  <c r="O818" i="2" s="1"/>
  <c r="N882" i="2"/>
  <c r="N946" i="2"/>
  <c r="O682" i="2"/>
  <c r="O714" i="2"/>
  <c r="O718" i="2"/>
  <c r="N725" i="2"/>
  <c r="O725" i="2" s="1"/>
  <c r="O782" i="2"/>
  <c r="N789" i="2"/>
  <c r="O789" i="2" s="1"/>
  <c r="O793" i="2"/>
  <c r="N853" i="2"/>
  <c r="O853" i="2" s="1"/>
  <c r="O857" i="2"/>
  <c r="N917" i="2"/>
  <c r="O917" i="2" s="1"/>
  <c r="O921" i="2"/>
  <c r="N981" i="2"/>
  <c r="O981" i="2" s="1"/>
  <c r="O985" i="2"/>
  <c r="N437" i="2"/>
  <c r="O437" i="2" s="1"/>
  <c r="N445" i="2"/>
  <c r="O445" i="2" s="1"/>
  <c r="N453" i="2"/>
  <c r="N461" i="2"/>
  <c r="N469" i="2"/>
  <c r="O469" i="2" s="1"/>
  <c r="N477" i="2"/>
  <c r="O477" i="2" s="1"/>
  <c r="N485" i="2"/>
  <c r="O485" i="2" s="1"/>
  <c r="N493" i="2"/>
  <c r="N501" i="2"/>
  <c r="O501" i="2" s="1"/>
  <c r="N509" i="2"/>
  <c r="O509" i="2" s="1"/>
  <c r="N517" i="2"/>
  <c r="N525" i="2"/>
  <c r="N533" i="2"/>
  <c r="O533" i="2" s="1"/>
  <c r="N541" i="2"/>
  <c r="O541" i="2" s="1"/>
  <c r="N549" i="2"/>
  <c r="O549" i="2" s="1"/>
  <c r="N557" i="2"/>
  <c r="N565" i="2"/>
  <c r="O565" i="2" s="1"/>
  <c r="N573" i="2"/>
  <c r="O573" i="2" s="1"/>
  <c r="N581" i="2"/>
  <c r="O581" i="2" s="1"/>
  <c r="N589" i="2"/>
  <c r="N597" i="2"/>
  <c r="O597" i="2" s="1"/>
  <c r="N605" i="2"/>
  <c r="O605" i="2" s="1"/>
  <c r="N613" i="2"/>
  <c r="O613" i="2" s="1"/>
  <c r="N621" i="2"/>
  <c r="O621" i="2" s="1"/>
  <c r="N629" i="2"/>
  <c r="O629" i="2" s="1"/>
  <c r="N637" i="2"/>
  <c r="O637" i="2" s="1"/>
  <c r="O675" i="2"/>
  <c r="O707" i="2"/>
  <c r="N714" i="2"/>
  <c r="O733" i="2"/>
  <c r="N733" i="2"/>
  <c r="N767" i="2"/>
  <c r="N778" i="2"/>
  <c r="O778" i="2" s="1"/>
  <c r="O786" i="2"/>
  <c r="N802" i="2"/>
  <c r="O802" i="2" s="1"/>
  <c r="N845" i="2"/>
  <c r="O845" i="2" s="1"/>
  <c r="N866" i="2"/>
  <c r="O866" i="2" s="1"/>
  <c r="O909" i="2"/>
  <c r="N909" i="2"/>
  <c r="O922" i="2"/>
  <c r="N930" i="2"/>
  <c r="O930" i="2" s="1"/>
  <c r="N973" i="2"/>
  <c r="O973" i="2" s="1"/>
  <c r="O977" i="2"/>
  <c r="O986" i="2"/>
  <c r="N994" i="2"/>
  <c r="O994" i="2" s="1"/>
  <c r="O690" i="2"/>
  <c r="O693" i="2"/>
  <c r="N722" i="2"/>
  <c r="O722" i="2" s="1"/>
  <c r="O730" i="2"/>
  <c r="O734" i="2"/>
  <c r="O737" i="2"/>
  <c r="O741" i="2"/>
  <c r="N741" i="2"/>
  <c r="N786" i="2"/>
  <c r="N794" i="2"/>
  <c r="O794" i="2" s="1"/>
  <c r="O837" i="2"/>
  <c r="N837" i="2"/>
  <c r="O841" i="2"/>
  <c r="O850" i="2"/>
  <c r="N858" i="2"/>
  <c r="O858" i="2" s="1"/>
  <c r="N901" i="2"/>
  <c r="O901" i="2" s="1"/>
  <c r="O905" i="2"/>
  <c r="O914" i="2"/>
  <c r="N922" i="2"/>
  <c r="N965" i="2"/>
  <c r="O965" i="2" s="1"/>
  <c r="O969" i="2"/>
  <c r="O978" i="2"/>
  <c r="N986" i="2"/>
  <c r="O738" i="2"/>
  <c r="O749" i="2"/>
  <c r="N749" i="2"/>
  <c r="N829" i="2"/>
  <c r="O829" i="2" s="1"/>
  <c r="N893" i="2"/>
  <c r="O893" i="2" s="1"/>
  <c r="N957" i="2"/>
  <c r="O957" i="2" s="1"/>
  <c r="N582" i="2"/>
  <c r="N590" i="2"/>
  <c r="N598" i="2"/>
  <c r="O598" i="2" s="1"/>
  <c r="N606" i="2"/>
  <c r="O606" i="2" s="1"/>
  <c r="N614" i="2"/>
  <c r="O614" i="2" s="1"/>
  <c r="N622" i="2"/>
  <c r="O622" i="2" s="1"/>
  <c r="N630" i="2"/>
  <c r="O630" i="2" s="1"/>
  <c r="N638" i="2"/>
  <c r="N646" i="2"/>
  <c r="O646" i="2" s="1"/>
  <c r="N654" i="2"/>
  <c r="O654" i="2" s="1"/>
  <c r="O666" i="2"/>
  <c r="O669" i="2"/>
  <c r="N687" i="2"/>
  <c r="O687" i="2" s="1"/>
  <c r="O698" i="2"/>
  <c r="O701" i="2"/>
  <c r="N738" i="2"/>
  <c r="O746" i="2"/>
  <c r="O750" i="2"/>
  <c r="O753" i="2"/>
  <c r="N757" i="2"/>
  <c r="O757" i="2" s="1"/>
  <c r="O821" i="2"/>
  <c r="N821" i="2"/>
  <c r="O834" i="2"/>
  <c r="N842" i="2"/>
  <c r="O842" i="2" s="1"/>
  <c r="O885" i="2"/>
  <c r="N885" i="2"/>
  <c r="O898" i="2"/>
  <c r="N906" i="2"/>
  <c r="O906" i="2" s="1"/>
  <c r="N949" i="2"/>
  <c r="O949" i="2" s="1"/>
  <c r="O962" i="2"/>
  <c r="N970" i="2"/>
  <c r="O970" i="2" s="1"/>
  <c r="O670" i="2"/>
  <c r="O702" i="2"/>
  <c r="O754" i="2"/>
  <c r="O758" i="2"/>
  <c r="N765" i="2"/>
  <c r="O765" i="2" s="1"/>
  <c r="N813" i="2"/>
  <c r="O813" i="2" s="1"/>
  <c r="O817" i="2"/>
  <c r="O826" i="2"/>
  <c r="N877" i="2"/>
  <c r="O877" i="2" s="1"/>
  <c r="O881" i="2"/>
  <c r="O890" i="2"/>
  <c r="N941" i="2"/>
  <c r="O941" i="2" s="1"/>
  <c r="O945" i="2"/>
  <c r="O954" i="2"/>
  <c r="N1000" i="2"/>
  <c r="O1000" i="2" s="1"/>
  <c r="N793" i="2"/>
  <c r="N801" i="2"/>
  <c r="O801" i="2" s="1"/>
  <c r="N809" i="2"/>
  <c r="O809" i="2" s="1"/>
  <c r="N817" i="2"/>
  <c r="N825" i="2"/>
  <c r="O825" i="2" s="1"/>
  <c r="N833" i="2"/>
  <c r="O833" i="2" s="1"/>
  <c r="N841" i="2"/>
  <c r="N849" i="2"/>
  <c r="O849" i="2" s="1"/>
  <c r="N857" i="2"/>
  <c r="N865" i="2"/>
  <c r="O865" i="2" s="1"/>
  <c r="N873" i="2"/>
  <c r="O873" i="2" s="1"/>
  <c r="N881" i="2"/>
  <c r="N889" i="2"/>
  <c r="O889" i="2" s="1"/>
  <c r="N897" i="2"/>
  <c r="O897" i="2" s="1"/>
  <c r="N905" i="2"/>
  <c r="N913" i="2"/>
  <c r="O913" i="2" s="1"/>
  <c r="N921" i="2"/>
  <c r="N929" i="2"/>
  <c r="N937" i="2"/>
  <c r="O937" i="2" s="1"/>
  <c r="N945" i="2"/>
  <c r="N953" i="2"/>
  <c r="O953" i="2" s="1"/>
  <c r="N961" i="2"/>
  <c r="O961" i="2" s="1"/>
  <c r="N969" i="2"/>
  <c r="N977" i="2"/>
  <c r="N985" i="2"/>
  <c r="N993" i="2"/>
  <c r="O993" i="2" s="1"/>
  <c r="N1001" i="2"/>
  <c r="O1001" i="2" s="1"/>
</calcChain>
</file>

<file path=xl/sharedStrings.xml><?xml version="1.0" encoding="utf-8"?>
<sst xmlns="http://schemas.openxmlformats.org/spreadsheetml/2006/main" count="7094" uniqueCount="1222">
  <si>
    <t>Transaction ID</t>
  </si>
  <si>
    <t>Date</t>
  </si>
  <si>
    <t>Year</t>
  </si>
  <si>
    <t>Month</t>
  </si>
  <si>
    <t>Branch</t>
  </si>
  <si>
    <t>City</t>
  </si>
  <si>
    <t>Category</t>
  </si>
  <si>
    <t>Subcategory</t>
  </si>
  <si>
    <t>Product Name</t>
  </si>
  <si>
    <t>Quantity</t>
  </si>
  <si>
    <t>Unit Price (PKR)</t>
  </si>
  <si>
    <t>Gross Sales (PKR)</t>
  </si>
  <si>
    <t>Discount %</t>
  </si>
  <si>
    <t>Discount Amount (PKR)</t>
  </si>
  <si>
    <t>Net Sales (PKR)</t>
  </si>
  <si>
    <t>TXN-00001</t>
  </si>
  <si>
    <t>December</t>
  </si>
  <si>
    <t>Hyderabad - Latifabad</t>
  </si>
  <si>
    <t>Hyderabad</t>
  </si>
  <si>
    <t>Groceries</t>
  </si>
  <si>
    <t>Beverages</t>
  </si>
  <si>
    <t>Coffee Jar 200g</t>
  </si>
  <si>
    <t>TXN-00002</t>
  </si>
  <si>
    <t>February</t>
  </si>
  <si>
    <t>Karachi - Tariq Road</t>
  </si>
  <si>
    <t>Karachi</t>
  </si>
  <si>
    <t>Electronics</t>
  </si>
  <si>
    <t>Mobiles &amp; Tablets</t>
  </si>
  <si>
    <t>Smartphone 64GB</t>
  </si>
  <si>
    <t>TXN-00003</t>
  </si>
  <si>
    <t>April</t>
  </si>
  <si>
    <t>Fresh Produce</t>
  </si>
  <si>
    <t>Vegetables</t>
  </si>
  <si>
    <t>Onions 1kg</t>
  </si>
  <si>
    <t>TXN-00004</t>
  </si>
  <si>
    <t>Lahore - MM Alam</t>
  </si>
  <si>
    <t>Lahore</t>
  </si>
  <si>
    <t>Household</t>
  </si>
  <si>
    <t>Laundry</t>
  </si>
  <si>
    <t>Liquid Detergent 2L</t>
  </si>
  <si>
    <t>TXN-00005</t>
  </si>
  <si>
    <t>November</t>
  </si>
  <si>
    <t>Islamabad - F-7</t>
  </si>
  <si>
    <t>Islamabad</t>
  </si>
  <si>
    <t>Bakery</t>
  </si>
  <si>
    <t>Cookies</t>
  </si>
  <si>
    <t>Marie Biscuits Family Pack</t>
  </si>
  <si>
    <t>TXN-00006</t>
  </si>
  <si>
    <t>May</t>
  </si>
  <si>
    <t>Kitchenware</t>
  </si>
  <si>
    <t>Cutlery Set (12pc)</t>
  </si>
  <si>
    <t>TXN-00007</t>
  </si>
  <si>
    <t>August</t>
  </si>
  <si>
    <t>Cosmetics</t>
  </si>
  <si>
    <t>Skincare</t>
  </si>
  <si>
    <t>Night Cream 30ml</t>
  </si>
  <si>
    <t>TXN-00008</t>
  </si>
  <si>
    <t>Apparel</t>
  </si>
  <si>
    <t>Women's Wear</t>
  </si>
  <si>
    <t>Stitched Trouser</t>
  </si>
  <si>
    <t>TXN-00009</t>
  </si>
  <si>
    <t>Breads</t>
  </si>
  <si>
    <t>Bread Sticks</t>
  </si>
  <si>
    <t>TXN-00010</t>
  </si>
  <si>
    <t>Toys</t>
  </si>
  <si>
    <t>Plush Toys</t>
  </si>
  <si>
    <t>Teddy Bear Medium</t>
  </si>
  <si>
    <t>TXN-00011</t>
  </si>
  <si>
    <t>July</t>
  </si>
  <si>
    <t>Packaged Foods</t>
  </si>
  <si>
    <t>Tomato Ketchup 1L</t>
  </si>
  <si>
    <t>TXN-00012</t>
  </si>
  <si>
    <t>October</t>
  </si>
  <si>
    <t>Soft Toy (Big)</t>
  </si>
  <si>
    <t>TXN-00013</t>
  </si>
  <si>
    <t>Men's Wear</t>
  </si>
  <si>
    <t>T-Shirt (Pack of 2)</t>
  </si>
  <si>
    <t>TXN-00014</t>
  </si>
  <si>
    <t>March</t>
  </si>
  <si>
    <t>Stainless Steel Pot</t>
  </si>
  <si>
    <t>TXN-00015</t>
  </si>
  <si>
    <t>Dairy</t>
  </si>
  <si>
    <t>Fresh Milk 1L</t>
  </si>
  <si>
    <t>TXN-00016</t>
  </si>
  <si>
    <t>Meat &amp; Poultry</t>
  </si>
  <si>
    <t>Beef Boneless 1kg</t>
  </si>
  <si>
    <t>TXN-00017</t>
  </si>
  <si>
    <t>Abaya</t>
  </si>
  <si>
    <t>TXN-00018</t>
  </si>
  <si>
    <t>Detergent Powder 3kg</t>
  </si>
  <si>
    <t>TXN-00019</t>
  </si>
  <si>
    <t>Home Essentials</t>
  </si>
  <si>
    <t>Curtains Pair</t>
  </si>
  <si>
    <t>TXN-00020</t>
  </si>
  <si>
    <t>Educational</t>
  </si>
  <si>
    <t>Number Flash Cards</t>
  </si>
  <si>
    <t>TXN-00021</t>
  </si>
  <si>
    <t>Board Games</t>
  </si>
  <si>
    <t>Monopoly Set</t>
  </si>
  <si>
    <t>TXN-00022</t>
  </si>
  <si>
    <t>June</t>
  </si>
  <si>
    <t>Small Appliances</t>
  </si>
  <si>
    <t>Microwave Oven</t>
  </si>
  <si>
    <t>TXN-00023</t>
  </si>
  <si>
    <t>Cleaning Supplies</t>
  </si>
  <si>
    <t>Floor Cleaner 1L</t>
  </si>
  <si>
    <t>TXN-00024</t>
  </si>
  <si>
    <t>Rice &amp; Grains</t>
  </si>
  <si>
    <t>Sella Rice 10kg</t>
  </si>
  <si>
    <t>TXN-00025</t>
  </si>
  <si>
    <t>Audio &amp; Accessories</t>
  </si>
  <si>
    <t>Wireless Earbuds</t>
  </si>
  <si>
    <t>TXN-00026</t>
  </si>
  <si>
    <t>Gadgets</t>
  </si>
  <si>
    <t>Phone Charger</t>
  </si>
  <si>
    <t>TXN-00027</t>
  </si>
  <si>
    <t>Lentils &amp; Beans</t>
  </si>
  <si>
    <t>Chana Dal 1kg</t>
  </si>
  <si>
    <t>TXN-00028</t>
  </si>
  <si>
    <t>TXN-00029</t>
  </si>
  <si>
    <t>Cola 2.25L</t>
  </si>
  <si>
    <t>TXN-00030</t>
  </si>
  <si>
    <t>TXN-00031</t>
  </si>
  <si>
    <t>September</t>
  </si>
  <si>
    <t>Fruits</t>
  </si>
  <si>
    <t>Grapes 500g</t>
  </si>
  <si>
    <t>TXN-00032</t>
  </si>
  <si>
    <t>Action Figures</t>
  </si>
  <si>
    <t>Soldier Set</t>
  </si>
  <si>
    <t>TXN-00033</t>
  </si>
  <si>
    <t>TXN-00034</t>
  </si>
  <si>
    <t>Kids Wear</t>
  </si>
  <si>
    <t>Kids Frock</t>
  </si>
  <si>
    <t>TXN-00035</t>
  </si>
  <si>
    <t>Ludo Family Set</t>
  </si>
  <si>
    <t>TXN-00036</t>
  </si>
  <si>
    <t>Personal Care</t>
  </si>
  <si>
    <t>Hair Oil 200ml</t>
  </si>
  <si>
    <t>TXN-00037</t>
  </si>
  <si>
    <t>Moong Dal 1kg</t>
  </si>
  <si>
    <t>TXN-00038</t>
  </si>
  <si>
    <t>Spices</t>
  </si>
  <si>
    <t>Coriander Powder 200g</t>
  </si>
  <si>
    <t>TXN-00039</t>
  </si>
  <si>
    <t>Casual Shirt</t>
  </si>
  <si>
    <t>TXN-00040</t>
  </si>
  <si>
    <t>Broken Rice 2kg</t>
  </si>
  <si>
    <t>TXN-00041</t>
  </si>
  <si>
    <t>Yogurt 1kg</t>
  </si>
  <si>
    <t>TXN-00042</t>
  </si>
  <si>
    <t>TXN-00043</t>
  </si>
  <si>
    <t>Embroidered Kurti</t>
  </si>
  <si>
    <t>TXN-00044</t>
  </si>
  <si>
    <t>Pillow Pair</t>
  </si>
  <si>
    <t>TXN-00045</t>
  </si>
  <si>
    <t>TXN-00046</t>
  </si>
  <si>
    <t>Masoor Dal 1kg</t>
  </si>
  <si>
    <t>TXN-00047</t>
  </si>
  <si>
    <t>TXN-00048</t>
  </si>
  <si>
    <t>TXN-00049</t>
  </si>
  <si>
    <t>Kids Jeans</t>
  </si>
  <si>
    <t>TXN-00050</t>
  </si>
  <si>
    <t>Phone Case Set</t>
  </si>
  <si>
    <t>TXN-00051</t>
  </si>
  <si>
    <t>Glass Set (6pc)</t>
  </si>
  <si>
    <t>TXN-00052</t>
  </si>
  <si>
    <t>Kids T-Shirt</t>
  </si>
  <si>
    <t>TXN-00053</t>
  </si>
  <si>
    <t>TXN-00054</t>
  </si>
  <si>
    <t>January</t>
  </si>
  <si>
    <t>Alphabet Block Set</t>
  </si>
  <si>
    <t>TXN-00055</t>
  </si>
  <si>
    <t>Eggs (Tray of 30)</t>
  </si>
  <si>
    <t>TXN-00056</t>
  </si>
  <si>
    <t>Lawn Suit (3pc)</t>
  </si>
  <si>
    <t>TXN-00057</t>
  </si>
  <si>
    <t>Savoury</t>
  </si>
  <si>
    <t>Patties Pack (6pc)</t>
  </si>
  <si>
    <t>TXN-00058</t>
  </si>
  <si>
    <t>TXN-00059</t>
  </si>
  <si>
    <t>TXN-00060</t>
  </si>
  <si>
    <t>Butter 200g</t>
  </si>
  <si>
    <t>TXN-00061</t>
  </si>
  <si>
    <t>TXN-00062</t>
  </si>
  <si>
    <t>Denim Jeans</t>
  </si>
  <si>
    <t>TXN-00063</t>
  </si>
  <si>
    <t>Cheese 200g</t>
  </si>
  <si>
    <t>TXN-00064</t>
  </si>
  <si>
    <t>Bananas 1 dozen</t>
  </si>
  <si>
    <t>TXN-00065</t>
  </si>
  <si>
    <t>Coconut Biscuits</t>
  </si>
  <si>
    <t>TXN-00066</t>
  </si>
  <si>
    <t>TXN-00067</t>
  </si>
  <si>
    <t>Makeup</t>
  </si>
  <si>
    <t>Foundation 30ml</t>
  </si>
  <si>
    <t>TXN-00068</t>
  </si>
  <si>
    <t>Tablet 10-inch</t>
  </si>
  <si>
    <t>TXN-00069</t>
  </si>
  <si>
    <t>Carrots 500g</t>
  </si>
  <si>
    <t>TXN-00070</t>
  </si>
  <si>
    <t>Footwear</t>
  </si>
  <si>
    <t>School Shoes (Kids)</t>
  </si>
  <si>
    <t>TXN-00071</t>
  </si>
  <si>
    <t>TXN-00072</t>
  </si>
  <si>
    <t>TXN-00073</t>
  </si>
  <si>
    <t>TXN-00074</t>
  </si>
  <si>
    <t>Stuffed Animal Set</t>
  </si>
  <si>
    <t>TXN-00075</t>
  </si>
  <si>
    <t>Kajal Pencil</t>
  </si>
  <si>
    <t>TXN-00076</t>
  </si>
  <si>
    <t>Mixed Beans 500g</t>
  </si>
  <si>
    <t>TXN-00077</t>
  </si>
  <si>
    <t>Puzzle (100pc)</t>
  </si>
  <si>
    <t>TXN-00078</t>
  </si>
  <si>
    <t>Sound Bar</t>
  </si>
  <si>
    <t>TXN-00079</t>
  </si>
  <si>
    <t>TXN-00080</t>
  </si>
  <si>
    <t>Digestive Biscuits</t>
  </si>
  <si>
    <t>TXN-00081</t>
  </si>
  <si>
    <t>TXN-00082</t>
  </si>
  <si>
    <t>TXN-00083</t>
  </si>
  <si>
    <t>Wheat Flour 5kg</t>
  </si>
  <si>
    <t>TXN-00084</t>
  </si>
  <si>
    <t>Cakes &amp; Pastries</t>
  </si>
  <si>
    <t>Cupcake Pack (6pc)</t>
  </si>
  <si>
    <t>TXN-00085</t>
  </si>
  <si>
    <t>TXN-00086</t>
  </si>
  <si>
    <t>TXN-00087</t>
  </si>
  <si>
    <t>TXN-00088</t>
  </si>
  <si>
    <t>Juicer Blender</t>
  </si>
  <si>
    <t>TXN-00089</t>
  </si>
  <si>
    <t>TXN-00090</t>
  </si>
  <si>
    <t>Bun Pack (6pc)</t>
  </si>
  <si>
    <t>TXN-00091</t>
  </si>
  <si>
    <t>TXN-00092</t>
  </si>
  <si>
    <t>Sandwich Maker</t>
  </si>
  <si>
    <t>TXN-00093</t>
  </si>
  <si>
    <t>Phablet 128GB</t>
  </si>
  <si>
    <t>TXN-00094</t>
  </si>
  <si>
    <t>Chocolate Cake 500g</t>
  </si>
  <si>
    <t>TXN-00095</t>
  </si>
  <si>
    <t>TXN-00096</t>
  </si>
  <si>
    <t>Basmati Rice 5kg</t>
  </si>
  <si>
    <t>TXN-00097</t>
  </si>
  <si>
    <t>TXN-00098</t>
  </si>
  <si>
    <t>Shampoo 400ml</t>
  </si>
  <si>
    <t>TXN-00099</t>
  </si>
  <si>
    <t>TXN-00100</t>
  </si>
  <si>
    <t>Noodles Family Pack</t>
  </si>
  <si>
    <t>TXN-00101</t>
  </si>
  <si>
    <t>Mineral Water 1.5L</t>
  </si>
  <si>
    <t>TXN-00102</t>
  </si>
  <si>
    <t>TXN-00103</t>
  </si>
  <si>
    <t>TXN-00104</t>
  </si>
  <si>
    <t>TXN-00105</t>
  </si>
  <si>
    <t>Dinosaur Set</t>
  </si>
  <si>
    <t>TXN-00106</t>
  </si>
  <si>
    <t>Potatoes 1kg</t>
  </si>
  <si>
    <t>TXN-00107</t>
  </si>
  <si>
    <t>TXN-00108</t>
  </si>
  <si>
    <t>TXN-00109</t>
  </si>
  <si>
    <t>TXN-00110</t>
  </si>
  <si>
    <t>TXN-00111</t>
  </si>
  <si>
    <t>TXN-00112</t>
  </si>
  <si>
    <t>Oranges 1kg</t>
  </si>
  <si>
    <t>TXN-00113</t>
  </si>
  <si>
    <t>Mangoes 1kg</t>
  </si>
  <si>
    <t>TXN-00114</t>
  </si>
  <si>
    <t>Sunscreen SPF 50</t>
  </si>
  <si>
    <t>TXN-00115</t>
  </si>
  <si>
    <t>TXN-00116</t>
  </si>
  <si>
    <t>Cooking Oil</t>
  </si>
  <si>
    <t>Mustard Oil 1L</t>
  </si>
  <si>
    <t>TXN-00117</t>
  </si>
  <si>
    <t>TXN-00118</t>
  </si>
  <si>
    <t>TXN-00119</t>
  </si>
  <si>
    <t>Spinach 500g</t>
  </si>
  <si>
    <t>TXN-00120</t>
  </si>
  <si>
    <t>Red Chilli Powder 200g</t>
  </si>
  <si>
    <t>TXN-00121</t>
  </si>
  <si>
    <t>TXN-00122</t>
  </si>
  <si>
    <t>TXN-00123</t>
  </si>
  <si>
    <t>TXN-00124</t>
  </si>
  <si>
    <t>Garam Masala 100g</t>
  </si>
  <si>
    <t>TXN-00125</t>
  </si>
  <si>
    <t>Fragrances</t>
  </si>
  <si>
    <t>Body Mist 200ml</t>
  </si>
  <si>
    <t>TXN-00126</t>
  </si>
  <si>
    <t>TXN-00127</t>
  </si>
  <si>
    <t>Surface Cleaner 750ml</t>
  </si>
  <si>
    <t>TXN-00128</t>
  </si>
  <si>
    <t>TXN-00129</t>
  </si>
  <si>
    <t>Tomatoes 1kg</t>
  </si>
  <si>
    <t>TXN-00130</t>
  </si>
  <si>
    <t>TXN-00131</t>
  </si>
  <si>
    <t>TXN-00132</t>
  </si>
  <si>
    <t>TXN-00133</t>
  </si>
  <si>
    <t>Cream Pastry</t>
  </si>
  <si>
    <t>TXN-00134</t>
  </si>
  <si>
    <t>TXN-00135</t>
  </si>
  <si>
    <t>Chess Set</t>
  </si>
  <si>
    <t>TXN-00136</t>
  </si>
  <si>
    <t>TXN-00137</t>
  </si>
  <si>
    <t>TXN-00138</t>
  </si>
  <si>
    <t>TXN-00139</t>
  </si>
  <si>
    <t>Sandal (Women)</t>
  </si>
  <si>
    <t>TXN-00140</t>
  </si>
  <si>
    <t>Chocolate Chip Cookies</t>
  </si>
  <si>
    <t>TXN-00141</t>
  </si>
  <si>
    <t>Cartoon Plush Toy</t>
  </si>
  <si>
    <t>TXN-00142</t>
  </si>
  <si>
    <t>TXN-00143</t>
  </si>
  <si>
    <t>TXN-00144</t>
  </si>
  <si>
    <t>Bluetooth Speaker</t>
  </si>
  <si>
    <t>TXN-00145</t>
  </si>
  <si>
    <t>Canned Tuna 200g</t>
  </si>
  <si>
    <t>TXN-00146</t>
  </si>
  <si>
    <t>Robot Toy</t>
  </si>
  <si>
    <t>TXN-00147</t>
  </si>
  <si>
    <t>TXN-00148</t>
  </si>
  <si>
    <t>Vanilla Cake 500g</t>
  </si>
  <si>
    <t>TXN-00149</t>
  </si>
  <si>
    <t>Conditioner 200ml</t>
  </si>
  <si>
    <t>TXN-00150</t>
  </si>
  <si>
    <t>TXN-00151</t>
  </si>
  <si>
    <t>Dishwash Liquid 1L</t>
  </si>
  <si>
    <t>TXN-00152</t>
  </si>
  <si>
    <t>TXN-00153</t>
  </si>
  <si>
    <t>TXN-00154</t>
  </si>
  <si>
    <t>TXN-00155</t>
  </si>
  <si>
    <t>Wired Headphones</t>
  </si>
  <si>
    <t>TXN-00156</t>
  </si>
  <si>
    <t>USB Cable Type-C</t>
  </si>
  <si>
    <t>TXN-00157</t>
  </si>
  <si>
    <t>Lipstick</t>
  </si>
  <si>
    <t>TXN-00158</t>
  </si>
  <si>
    <t>Feature Phone</t>
  </si>
  <si>
    <t>TXN-00159</t>
  </si>
  <si>
    <t>TXN-00160</t>
  </si>
  <si>
    <t>TXN-00161</t>
  </si>
  <si>
    <t>TXN-00162</t>
  </si>
  <si>
    <t>TXN-00163</t>
  </si>
  <si>
    <t>TXN-00164</t>
  </si>
  <si>
    <t>TXN-00165</t>
  </si>
  <si>
    <t>Bed Sheet Set</t>
  </si>
  <si>
    <t>TXN-00166</t>
  </si>
  <si>
    <t>Body Wash 500ml</t>
  </si>
  <si>
    <t>TXN-00167</t>
  </si>
  <si>
    <t>Brown Bread Loaf</t>
  </si>
  <si>
    <t>TXN-00168</t>
  </si>
  <si>
    <t>TXN-00169</t>
  </si>
  <si>
    <t>TXN-00170</t>
  </si>
  <si>
    <t>TXN-00171</t>
  </si>
  <si>
    <t>TXN-00172</t>
  </si>
  <si>
    <t>TXN-00173</t>
  </si>
  <si>
    <t>TXN-00174</t>
  </si>
  <si>
    <t>Mutton 1kg</t>
  </si>
  <si>
    <t>TXN-00175</t>
  </si>
  <si>
    <t>TXN-00176</t>
  </si>
  <si>
    <t>TXN-00177</t>
  </si>
  <si>
    <t>Sneakers (Men)</t>
  </si>
  <si>
    <t>TXN-00178</t>
  </si>
  <si>
    <t>TXN-00179</t>
  </si>
  <si>
    <t>TXN-00180</t>
  </si>
  <si>
    <t>TXN-00181</t>
  </si>
  <si>
    <t>TXN-00182</t>
  </si>
  <si>
    <t>TXN-00183</t>
  </si>
  <si>
    <t>TXN-00184</t>
  </si>
  <si>
    <t>TXN-00185</t>
  </si>
  <si>
    <t>TXN-00186</t>
  </si>
  <si>
    <t>TXN-00187</t>
  </si>
  <si>
    <t>TXN-00188</t>
  </si>
  <si>
    <t>TXN-00189</t>
  </si>
  <si>
    <t>TXN-00190</t>
  </si>
  <si>
    <t>TXN-00191</t>
  </si>
  <si>
    <t>Roll Paratha Pack</t>
  </si>
  <si>
    <t>TXN-00192</t>
  </si>
  <si>
    <t>White Bread Loaf</t>
  </si>
  <si>
    <t>TXN-00193</t>
  </si>
  <si>
    <t>TXN-00194</t>
  </si>
  <si>
    <t>TXN-00195</t>
  </si>
  <si>
    <t>TXN-00196</t>
  </si>
  <si>
    <t>TXN-00197</t>
  </si>
  <si>
    <t>TXN-00198</t>
  </si>
  <si>
    <t>TXN-00199</t>
  </si>
  <si>
    <t>TXN-00200</t>
  </si>
  <si>
    <t>TXN-00201</t>
  </si>
  <si>
    <t>TXN-00202</t>
  </si>
  <si>
    <t>TXN-00203</t>
  </si>
  <si>
    <t>TXN-00204</t>
  </si>
  <si>
    <t>TXN-00205</t>
  </si>
  <si>
    <t>TXN-00206</t>
  </si>
  <si>
    <t>Turmeric Powder 200g</t>
  </si>
  <si>
    <t>TXN-00207</t>
  </si>
  <si>
    <t>TXN-00208</t>
  </si>
  <si>
    <t>TXN-00209</t>
  </si>
  <si>
    <t>TXN-00210</t>
  </si>
  <si>
    <t>TXN-00211</t>
  </si>
  <si>
    <t>TXN-00212</t>
  </si>
  <si>
    <t>Air Fryer</t>
  </si>
  <si>
    <t>TXN-00213</t>
  </si>
  <si>
    <t>TXN-00214</t>
  </si>
  <si>
    <t>TXN-00215</t>
  </si>
  <si>
    <t>Fabric Softener 2L</t>
  </si>
  <si>
    <t>TXN-00216</t>
  </si>
  <si>
    <t>TXN-00217</t>
  </si>
  <si>
    <t>TXN-00218</t>
  </si>
  <si>
    <t>Breakfast Cereal 500g</t>
  </si>
  <si>
    <t>TXN-00219</t>
  </si>
  <si>
    <t>TXN-00220</t>
  </si>
  <si>
    <t>TXN-00221</t>
  </si>
  <si>
    <t>TXN-00222</t>
  </si>
  <si>
    <t>TXN-00223</t>
  </si>
  <si>
    <t>TXN-00224</t>
  </si>
  <si>
    <t>TXN-00225</t>
  </si>
  <si>
    <t>TXN-00226</t>
  </si>
  <si>
    <t>TXN-00227</t>
  </si>
  <si>
    <t>TXN-00228</t>
  </si>
  <si>
    <t>TXN-00229</t>
  </si>
  <si>
    <t>TXN-00230</t>
  </si>
  <si>
    <t>Stem Kit</t>
  </si>
  <si>
    <t>TXN-00231</t>
  </si>
  <si>
    <t>TXN-00232</t>
  </si>
  <si>
    <t>TXN-00233</t>
  </si>
  <si>
    <t>TXN-00234</t>
  </si>
  <si>
    <t>Slippers Pair</t>
  </si>
  <si>
    <t>TXN-00235</t>
  </si>
  <si>
    <t>TXN-00236</t>
  </si>
  <si>
    <t>TXN-00237</t>
  </si>
  <si>
    <t>TXN-00238</t>
  </si>
  <si>
    <t>Bath Towel</t>
  </si>
  <si>
    <t>TXN-00239</t>
  </si>
  <si>
    <t>TXN-00240</t>
  </si>
  <si>
    <t>TXN-00241</t>
  </si>
  <si>
    <t>TXN-00242</t>
  </si>
  <si>
    <t>TXN-00243</t>
  </si>
  <si>
    <t>Stain Remover 500ml</t>
  </si>
  <si>
    <t>TXN-00244</t>
  </si>
  <si>
    <t>BB Cream 30ml</t>
  </si>
  <si>
    <t>TXN-00245</t>
  </si>
  <si>
    <t>TXN-00246</t>
  </si>
  <si>
    <t>TXN-00247</t>
  </si>
  <si>
    <t>TXN-00248</t>
  </si>
  <si>
    <t>TXN-00249</t>
  </si>
  <si>
    <t>TXN-00250</t>
  </si>
  <si>
    <t>TXN-00251</t>
  </si>
  <si>
    <t>TXN-00252</t>
  </si>
  <si>
    <t>TXN-00253</t>
  </si>
  <si>
    <t>Chicken Breast 1kg</t>
  </si>
  <si>
    <t>TXN-00254</t>
  </si>
  <si>
    <t>TXN-00255</t>
  </si>
  <si>
    <t>TXN-00256</t>
  </si>
  <si>
    <t>TXN-00257</t>
  </si>
  <si>
    <t>Samosa Pack (12pc)</t>
  </si>
  <si>
    <t>TXN-00258</t>
  </si>
  <si>
    <t>TXN-00259</t>
  </si>
  <si>
    <t>TXN-00260</t>
  </si>
  <si>
    <t>TXN-00261</t>
  </si>
  <si>
    <t>TXN-00262</t>
  </si>
  <si>
    <t>TXN-00263</t>
  </si>
  <si>
    <t>TXN-00264</t>
  </si>
  <si>
    <t>TXN-00265</t>
  </si>
  <si>
    <t>TXN-00266</t>
  </si>
  <si>
    <t>TXN-00267</t>
  </si>
  <si>
    <t>TXN-00268</t>
  </si>
  <si>
    <t>TXN-00269</t>
  </si>
  <si>
    <t>TXN-00270</t>
  </si>
  <si>
    <t>Moisturizer 50ml</t>
  </si>
  <si>
    <t>TXN-00271</t>
  </si>
  <si>
    <t>TXN-00272</t>
  </si>
  <si>
    <t>TXN-00273</t>
  </si>
  <si>
    <t>TXN-00274</t>
  </si>
  <si>
    <t>TXN-00275</t>
  </si>
  <si>
    <t>TXN-00276</t>
  </si>
  <si>
    <t>TXN-00277</t>
  </si>
  <si>
    <t>TXN-00278</t>
  </si>
  <si>
    <t>TXN-00279</t>
  </si>
  <si>
    <t>TXN-00280</t>
  </si>
  <si>
    <t>TXN-00281</t>
  </si>
  <si>
    <t>Superhero Action Figure</t>
  </si>
  <si>
    <t>TXN-00282</t>
  </si>
  <si>
    <t>TXN-00283</t>
  </si>
  <si>
    <t>TXN-00284</t>
  </si>
  <si>
    <t>TXN-00285</t>
  </si>
  <si>
    <t>TXN-00286</t>
  </si>
  <si>
    <t>TXN-00287</t>
  </si>
  <si>
    <t>TXN-00288</t>
  </si>
  <si>
    <t>TXN-00289</t>
  </si>
  <si>
    <t>TXN-00290</t>
  </si>
  <si>
    <t>TXN-00291</t>
  </si>
  <si>
    <t>TXN-00292</t>
  </si>
  <si>
    <t>TXN-00293</t>
  </si>
  <si>
    <t>TXN-00294</t>
  </si>
  <si>
    <t>TXN-00295</t>
  </si>
  <si>
    <t>TXN-00296</t>
  </si>
  <si>
    <t>TXN-00297</t>
  </si>
  <si>
    <t>TXN-00298</t>
  </si>
  <si>
    <t>TXN-00299</t>
  </si>
  <si>
    <t>TXN-00300</t>
  </si>
  <si>
    <t>Cotton Shalwar Kameez</t>
  </si>
  <si>
    <t>TXN-00301</t>
  </si>
  <si>
    <t>TXN-00302</t>
  </si>
  <si>
    <t>TXN-00303</t>
  </si>
  <si>
    <t>TXN-00304</t>
  </si>
  <si>
    <t>TXN-00305</t>
  </si>
  <si>
    <t>TXN-00306</t>
  </si>
  <si>
    <t>TXN-00307</t>
  </si>
  <si>
    <t>TXN-00308</t>
  </si>
  <si>
    <t>Apples 1kg</t>
  </si>
  <si>
    <t>TXN-00309</t>
  </si>
  <si>
    <t>TXN-00310</t>
  </si>
  <si>
    <t>TXN-00311</t>
  </si>
  <si>
    <t>TXN-00312</t>
  </si>
  <si>
    <t>TXN-00313</t>
  </si>
  <si>
    <t>TXN-00314</t>
  </si>
  <si>
    <t>Sufola Cooking Oil 5L</t>
  </si>
  <si>
    <t>TXN-00315</t>
  </si>
  <si>
    <t>TXN-00316</t>
  </si>
  <si>
    <t>TXN-00317</t>
  </si>
  <si>
    <t>TXN-00318</t>
  </si>
  <si>
    <t>TXN-00319</t>
  </si>
  <si>
    <t>TXN-00320</t>
  </si>
  <si>
    <t>TXN-00321</t>
  </si>
  <si>
    <t>TXN-00322</t>
  </si>
  <si>
    <t>TXN-00323</t>
  </si>
  <si>
    <t>Pizza Base (2pc)</t>
  </si>
  <si>
    <t>TXN-00324</t>
  </si>
  <si>
    <t>TXN-00325</t>
  </si>
  <si>
    <t>TXN-00326</t>
  </si>
  <si>
    <t>TXN-00327</t>
  </si>
  <si>
    <t>TXN-00328</t>
  </si>
  <si>
    <t>TXN-00329</t>
  </si>
  <si>
    <t>TXN-00330</t>
  </si>
  <si>
    <t>TXN-00331</t>
  </si>
  <si>
    <t>TXN-00332</t>
  </si>
  <si>
    <t>TXN-00333</t>
  </si>
  <si>
    <t>TXN-00334</t>
  </si>
  <si>
    <t>TXN-00335</t>
  </si>
  <si>
    <t>TXN-00336</t>
  </si>
  <si>
    <t>TXN-00337</t>
  </si>
  <si>
    <t>Tea Pack 500g</t>
  </si>
  <si>
    <t>TXN-00338</t>
  </si>
  <si>
    <t>TXN-00339</t>
  </si>
  <si>
    <t>TXN-00340</t>
  </si>
  <si>
    <t>TXN-00341</t>
  </si>
  <si>
    <t>TXN-00342</t>
  </si>
  <si>
    <t>TXN-00343</t>
  </si>
  <si>
    <t>TXN-00344</t>
  </si>
  <si>
    <t>TXN-00345</t>
  </si>
  <si>
    <t>TXN-00346</t>
  </si>
  <si>
    <t>TXN-00347</t>
  </si>
  <si>
    <t>TXN-00348</t>
  </si>
  <si>
    <t>TXN-00349</t>
  </si>
  <si>
    <t>TXN-00350</t>
  </si>
  <si>
    <t>TXN-00351</t>
  </si>
  <si>
    <t>TXN-00352</t>
  </si>
  <si>
    <t>TXN-00353</t>
  </si>
  <si>
    <t>TXN-00354</t>
  </si>
  <si>
    <t>TXN-00355</t>
  </si>
  <si>
    <t>TXN-00356</t>
  </si>
  <si>
    <t>TXN-00357</t>
  </si>
  <si>
    <t>TXN-00358</t>
  </si>
  <si>
    <t>TXN-00359</t>
  </si>
  <si>
    <t>TXN-00360</t>
  </si>
  <si>
    <t>TXN-00361</t>
  </si>
  <si>
    <t>TXN-00362</t>
  </si>
  <si>
    <t>TXN-00363</t>
  </si>
  <si>
    <t>TXN-00364</t>
  </si>
  <si>
    <t>TXN-00365</t>
  </si>
  <si>
    <t>TXN-00366</t>
  </si>
  <si>
    <t>TXN-00367</t>
  </si>
  <si>
    <t>Olive Oil 1L</t>
  </si>
  <si>
    <t>TXN-00368</t>
  </si>
  <si>
    <t>TXN-00369</t>
  </si>
  <si>
    <t>TXN-00370</t>
  </si>
  <si>
    <t>TXN-00371</t>
  </si>
  <si>
    <t>TXN-00372</t>
  </si>
  <si>
    <t>TXN-00373</t>
  </si>
  <si>
    <t>TXN-00374</t>
  </si>
  <si>
    <t>TXN-00375</t>
  </si>
  <si>
    <t>TXN-00376</t>
  </si>
  <si>
    <t>TXN-00377</t>
  </si>
  <si>
    <t>TXN-00378</t>
  </si>
  <si>
    <t>TXN-00379</t>
  </si>
  <si>
    <t>TXN-00380</t>
  </si>
  <si>
    <t>TXN-00381</t>
  </si>
  <si>
    <t>TXN-00382</t>
  </si>
  <si>
    <t>TXN-00383</t>
  </si>
  <si>
    <t>TXN-00384</t>
  </si>
  <si>
    <t>TXN-00385</t>
  </si>
  <si>
    <t>TXN-00386</t>
  </si>
  <si>
    <t>TXN-00387</t>
  </si>
  <si>
    <t>TXN-00388</t>
  </si>
  <si>
    <t>TXN-00389</t>
  </si>
  <si>
    <t>TXN-00390</t>
  </si>
  <si>
    <t>Face Wash 150ml</t>
  </si>
  <si>
    <t>TXN-00391</t>
  </si>
  <si>
    <t>TXN-00392</t>
  </si>
  <si>
    <t>TXN-00393</t>
  </si>
  <si>
    <t>TXN-00394</t>
  </si>
  <si>
    <t>TXN-00395</t>
  </si>
  <si>
    <t>Geography Globe</t>
  </si>
  <si>
    <t>TXN-00396</t>
  </si>
  <si>
    <t>TXN-00397</t>
  </si>
  <si>
    <t>TXN-00398</t>
  </si>
  <si>
    <t>Meezan Banaspati 5L</t>
  </si>
  <si>
    <t>TXN-00399</t>
  </si>
  <si>
    <t>TXN-00400</t>
  </si>
  <si>
    <t>TXN-00401</t>
  </si>
  <si>
    <t>TXN-00402</t>
  </si>
  <si>
    <t>TXN-00403</t>
  </si>
  <si>
    <t>TXN-00404</t>
  </si>
  <si>
    <t>TXN-00405</t>
  </si>
  <si>
    <t>TXN-00406</t>
  </si>
  <si>
    <t>TXN-00407</t>
  </si>
  <si>
    <t>TXN-00408</t>
  </si>
  <si>
    <t>TXN-00409</t>
  </si>
  <si>
    <t>TXN-00410</t>
  </si>
  <si>
    <t>TXN-00411</t>
  </si>
  <si>
    <t>TXN-00412</t>
  </si>
  <si>
    <t>TXN-00413</t>
  </si>
  <si>
    <t>TXN-00414</t>
  </si>
  <si>
    <t>TXN-00415</t>
  </si>
  <si>
    <t>Toilet Cleaner 1L</t>
  </si>
  <si>
    <t>TXN-00416</t>
  </si>
  <si>
    <t>TXN-00417</t>
  </si>
  <si>
    <t>TXN-00418</t>
  </si>
  <si>
    <t>TXN-00419</t>
  </si>
  <si>
    <t>TXN-00420</t>
  </si>
  <si>
    <t>TXN-00421</t>
  </si>
  <si>
    <t>TXN-00422</t>
  </si>
  <si>
    <t>TXN-00423</t>
  </si>
  <si>
    <t>TXN-00424</t>
  </si>
  <si>
    <t>TXN-00425</t>
  </si>
  <si>
    <t>Whole Chicken 1.5kg</t>
  </si>
  <si>
    <t>TXN-00426</t>
  </si>
  <si>
    <t>TXN-00427</t>
  </si>
  <si>
    <t>TXN-00428</t>
  </si>
  <si>
    <t>TXN-00429</t>
  </si>
  <si>
    <t>TXN-00430</t>
  </si>
  <si>
    <t>TXN-00431</t>
  </si>
  <si>
    <t>TXN-00432</t>
  </si>
  <si>
    <t>TXN-00433</t>
  </si>
  <si>
    <t>TXN-00434</t>
  </si>
  <si>
    <t>TXN-00435</t>
  </si>
  <si>
    <t>TXN-00436</t>
  </si>
  <si>
    <t>TXN-00437</t>
  </si>
  <si>
    <t>TXN-00438</t>
  </si>
  <si>
    <t>TXN-00439</t>
  </si>
  <si>
    <t>TXN-00440</t>
  </si>
  <si>
    <t>TXN-00441</t>
  </si>
  <si>
    <t>TXN-00442</t>
  </si>
  <si>
    <t>TXN-00443</t>
  </si>
  <si>
    <t>TXN-00444</t>
  </si>
  <si>
    <t>TXN-00445</t>
  </si>
  <si>
    <t>TXN-00446</t>
  </si>
  <si>
    <t>TXN-00447</t>
  </si>
  <si>
    <t>TXN-00448</t>
  </si>
  <si>
    <t>TXN-00449</t>
  </si>
  <si>
    <t>TXN-00450</t>
  </si>
  <si>
    <t>TXN-00451</t>
  </si>
  <si>
    <t>TXN-00452</t>
  </si>
  <si>
    <t>TXN-00453</t>
  </si>
  <si>
    <t>TXN-00454</t>
  </si>
  <si>
    <t>TXN-00455</t>
  </si>
  <si>
    <t>TXN-00456</t>
  </si>
  <si>
    <t>TXN-00457</t>
  </si>
  <si>
    <t>TXN-00458</t>
  </si>
  <si>
    <t>TXN-00459</t>
  </si>
  <si>
    <t>TXN-00460</t>
  </si>
  <si>
    <t>TXN-00461</t>
  </si>
  <si>
    <t>TXN-00462</t>
  </si>
  <si>
    <t>TXN-00463</t>
  </si>
  <si>
    <t>TXN-00464</t>
  </si>
  <si>
    <t>TXN-00465</t>
  </si>
  <si>
    <t>TXN-00466</t>
  </si>
  <si>
    <t>TXN-00467</t>
  </si>
  <si>
    <t>TXN-00468</t>
  </si>
  <si>
    <t>TXN-00469</t>
  </si>
  <si>
    <t>TXN-00470</t>
  </si>
  <si>
    <t>TXN-00471</t>
  </si>
  <si>
    <t>TXN-00472</t>
  </si>
  <si>
    <t>TXN-00473</t>
  </si>
  <si>
    <t>TXN-00474</t>
  </si>
  <si>
    <t>TXN-00475</t>
  </si>
  <si>
    <t>TXN-00476</t>
  </si>
  <si>
    <t>TXN-00477</t>
  </si>
  <si>
    <t>TXN-00478</t>
  </si>
  <si>
    <t>TXN-00479</t>
  </si>
  <si>
    <t>TXN-00480</t>
  </si>
  <si>
    <t>TXN-00481</t>
  </si>
  <si>
    <t>TXN-00482</t>
  </si>
  <si>
    <t>TXN-00483</t>
  </si>
  <si>
    <t>TXN-00484</t>
  </si>
  <si>
    <t>TXN-00485</t>
  </si>
  <si>
    <t>TXN-00486</t>
  </si>
  <si>
    <t>TXN-00487</t>
  </si>
  <si>
    <t>TXN-00488</t>
  </si>
  <si>
    <t>TXN-00489</t>
  </si>
  <si>
    <t>TXN-00490</t>
  </si>
  <si>
    <t>TXN-00491</t>
  </si>
  <si>
    <t>TXN-00492</t>
  </si>
  <si>
    <t>TXN-00493</t>
  </si>
  <si>
    <t>TXN-00494</t>
  </si>
  <si>
    <t>TXN-00495</t>
  </si>
  <si>
    <t>TXN-00496</t>
  </si>
  <si>
    <t>TXN-00497</t>
  </si>
  <si>
    <t>TXN-00498</t>
  </si>
  <si>
    <t>TXN-00499</t>
  </si>
  <si>
    <t>TXN-00500</t>
  </si>
  <si>
    <t>TXN-00501</t>
  </si>
  <si>
    <t>TXN-00502</t>
  </si>
  <si>
    <t>TXN-00503</t>
  </si>
  <si>
    <t>Attar 12ml</t>
  </si>
  <si>
    <t>TXN-00504</t>
  </si>
  <si>
    <t>TXN-00505</t>
  </si>
  <si>
    <t>TXN-00506</t>
  </si>
  <si>
    <t>TXN-00507</t>
  </si>
  <si>
    <t>TXN-00508</t>
  </si>
  <si>
    <t>TXN-00509</t>
  </si>
  <si>
    <t>TXN-00510</t>
  </si>
  <si>
    <t>TXN-00511</t>
  </si>
  <si>
    <t>TXN-00512</t>
  </si>
  <si>
    <t>TXN-00513</t>
  </si>
  <si>
    <t>TXN-00514</t>
  </si>
  <si>
    <t>TXN-00515</t>
  </si>
  <si>
    <t>TXN-00516</t>
  </si>
  <si>
    <t>TXN-00517</t>
  </si>
  <si>
    <t>TXN-00518</t>
  </si>
  <si>
    <t>TXN-00519</t>
  </si>
  <si>
    <t>TXN-00520</t>
  </si>
  <si>
    <t>TXN-00521</t>
  </si>
  <si>
    <t>TXN-00522</t>
  </si>
  <si>
    <t>TXN-00523</t>
  </si>
  <si>
    <t>TXN-00524</t>
  </si>
  <si>
    <t>TXN-00525</t>
  </si>
  <si>
    <t>TXN-00526</t>
  </si>
  <si>
    <t>TXN-00527</t>
  </si>
  <si>
    <t>TXN-00528</t>
  </si>
  <si>
    <t>TXN-00529</t>
  </si>
  <si>
    <t>TXN-00530</t>
  </si>
  <si>
    <t>TXN-00531</t>
  </si>
  <si>
    <t>TXN-00532</t>
  </si>
  <si>
    <t>TXN-00533</t>
  </si>
  <si>
    <t>TXN-00534</t>
  </si>
  <si>
    <t>TXN-00535</t>
  </si>
  <si>
    <t>TXN-00536</t>
  </si>
  <si>
    <t>TXN-00537</t>
  </si>
  <si>
    <t>TXN-00538</t>
  </si>
  <si>
    <t>Perfume 50ml (Women)</t>
  </si>
  <si>
    <t>TXN-00539</t>
  </si>
  <si>
    <t>TXN-00540</t>
  </si>
  <si>
    <t>TXN-00541</t>
  </si>
  <si>
    <t>TXN-00542</t>
  </si>
  <si>
    <t>TXN-00543</t>
  </si>
  <si>
    <t>TXN-00544</t>
  </si>
  <si>
    <t>TXN-00545</t>
  </si>
  <si>
    <t>TXN-00546</t>
  </si>
  <si>
    <t>TXN-00547</t>
  </si>
  <si>
    <t>TXN-00548</t>
  </si>
  <si>
    <t>TXN-00549</t>
  </si>
  <si>
    <t>TXN-00550</t>
  </si>
  <si>
    <t>TXN-00551</t>
  </si>
  <si>
    <t>TXN-00552</t>
  </si>
  <si>
    <t>TXN-00553</t>
  </si>
  <si>
    <t>TXN-00554</t>
  </si>
  <si>
    <t>TXN-00555</t>
  </si>
  <si>
    <t>TXN-00556</t>
  </si>
  <si>
    <t>TXN-00557</t>
  </si>
  <si>
    <t>TXN-00558</t>
  </si>
  <si>
    <t>TXN-00559</t>
  </si>
  <si>
    <t>TXN-00560</t>
  </si>
  <si>
    <t>TXN-00561</t>
  </si>
  <si>
    <t>TXN-00562</t>
  </si>
  <si>
    <t>TXN-00563</t>
  </si>
  <si>
    <t>TXN-00564</t>
  </si>
  <si>
    <t>TXN-00565</t>
  </si>
  <si>
    <t>TXN-00566</t>
  </si>
  <si>
    <t>TXN-00567</t>
  </si>
  <si>
    <t>TXN-00568</t>
  </si>
  <si>
    <t>TXN-00569</t>
  </si>
  <si>
    <t>TXN-00570</t>
  </si>
  <si>
    <t>TXN-00571</t>
  </si>
  <si>
    <t>TXN-00572</t>
  </si>
  <si>
    <t>TXN-00573</t>
  </si>
  <si>
    <t>TXN-00574</t>
  </si>
  <si>
    <t>TXN-00575</t>
  </si>
  <si>
    <t>TXN-00576</t>
  </si>
  <si>
    <t>TXN-00577</t>
  </si>
  <si>
    <t>TXN-00578</t>
  </si>
  <si>
    <t>TXN-00579</t>
  </si>
  <si>
    <t>TXN-00580</t>
  </si>
  <si>
    <t>TXN-00581</t>
  </si>
  <si>
    <t>TXN-00582</t>
  </si>
  <si>
    <t>TXN-00583</t>
  </si>
  <si>
    <t>TXN-00584</t>
  </si>
  <si>
    <t>TXN-00585</t>
  </si>
  <si>
    <t>TXN-00586</t>
  </si>
  <si>
    <t>TXN-00587</t>
  </si>
  <si>
    <t>TXN-00588</t>
  </si>
  <si>
    <t>TXN-00589</t>
  </si>
  <si>
    <t>TXN-00590</t>
  </si>
  <si>
    <t>TXN-00591</t>
  </si>
  <si>
    <t>TXN-00592</t>
  </si>
  <si>
    <t>TXN-00593</t>
  </si>
  <si>
    <t>TXN-00594</t>
  </si>
  <si>
    <t>TXN-00595</t>
  </si>
  <si>
    <t>TXN-00596</t>
  </si>
  <si>
    <t>TXN-00597</t>
  </si>
  <si>
    <t>TXN-00598</t>
  </si>
  <si>
    <t>TXN-00599</t>
  </si>
  <si>
    <t>TXN-00600</t>
  </si>
  <si>
    <t>TXN-00601</t>
  </si>
  <si>
    <t>TXN-00602</t>
  </si>
  <si>
    <t>TXN-00603</t>
  </si>
  <si>
    <t>TXN-00604</t>
  </si>
  <si>
    <t>TXN-00605</t>
  </si>
  <si>
    <t>TXN-00606</t>
  </si>
  <si>
    <t>TXN-00607</t>
  </si>
  <si>
    <t>TXN-00608</t>
  </si>
  <si>
    <t>Perfume 50ml (Men)</t>
  </si>
  <si>
    <t>TXN-00609</t>
  </si>
  <si>
    <t>TXN-00610</t>
  </si>
  <si>
    <t>TXN-00611</t>
  </si>
  <si>
    <t>TXN-00612</t>
  </si>
  <si>
    <t>TXN-00613</t>
  </si>
  <si>
    <t>TXN-00614</t>
  </si>
  <si>
    <t>TXN-00615</t>
  </si>
  <si>
    <t>TXN-00616</t>
  </si>
  <si>
    <t>TXN-00617</t>
  </si>
  <si>
    <t>TXN-00618</t>
  </si>
  <si>
    <t>TXN-00619</t>
  </si>
  <si>
    <t>TXN-00620</t>
  </si>
  <si>
    <t>TXN-00621</t>
  </si>
  <si>
    <t>TXN-00622</t>
  </si>
  <si>
    <t>TXN-00623</t>
  </si>
  <si>
    <t>TXN-00624</t>
  </si>
  <si>
    <t>TXN-00625</t>
  </si>
  <si>
    <t>TXN-00626</t>
  </si>
  <si>
    <t>TXN-00627</t>
  </si>
  <si>
    <t>TXN-00628</t>
  </si>
  <si>
    <t>TXN-00629</t>
  </si>
  <si>
    <t>TXN-00630</t>
  </si>
  <si>
    <t>TXN-00631</t>
  </si>
  <si>
    <t>TXN-00632</t>
  </si>
  <si>
    <t>TXN-00633</t>
  </si>
  <si>
    <t>TXN-00634</t>
  </si>
  <si>
    <t>TXN-00635</t>
  </si>
  <si>
    <t>TXN-00636</t>
  </si>
  <si>
    <t>TXN-00637</t>
  </si>
  <si>
    <t>TXN-00638</t>
  </si>
  <si>
    <t>TXN-00639</t>
  </si>
  <si>
    <t>TXN-00640</t>
  </si>
  <si>
    <t>TXN-00641</t>
  </si>
  <si>
    <t>TXN-00642</t>
  </si>
  <si>
    <t>TXN-00643</t>
  </si>
  <si>
    <t>Power Bank 20000mAh</t>
  </si>
  <si>
    <t>TXN-00644</t>
  </si>
  <si>
    <t>TXN-00645</t>
  </si>
  <si>
    <t>TXN-00646</t>
  </si>
  <si>
    <t>TXN-00647</t>
  </si>
  <si>
    <t>TXN-00648</t>
  </si>
  <si>
    <t>TXN-00649</t>
  </si>
  <si>
    <t>TXN-00650</t>
  </si>
  <si>
    <t>TXN-00651</t>
  </si>
  <si>
    <t>TXN-00652</t>
  </si>
  <si>
    <t>TXN-00653</t>
  </si>
  <si>
    <t>TXN-00654</t>
  </si>
  <si>
    <t>TXN-00655</t>
  </si>
  <si>
    <t>TXN-00656</t>
  </si>
  <si>
    <t>TXN-00657</t>
  </si>
  <si>
    <t>TXN-00658</t>
  </si>
  <si>
    <t>TXN-00659</t>
  </si>
  <si>
    <t>TXN-00660</t>
  </si>
  <si>
    <t>TXN-00661</t>
  </si>
  <si>
    <t>TXN-00662</t>
  </si>
  <si>
    <t>TXN-00663</t>
  </si>
  <si>
    <t>TXN-00664</t>
  </si>
  <si>
    <t>TXN-00665</t>
  </si>
  <si>
    <t>TXN-00666</t>
  </si>
  <si>
    <t>TXN-00667</t>
  </si>
  <si>
    <t>TXN-00668</t>
  </si>
  <si>
    <t>TXN-00669</t>
  </si>
  <si>
    <t>TXN-00670</t>
  </si>
  <si>
    <t>TXN-00671</t>
  </si>
  <si>
    <t>TXN-00672</t>
  </si>
  <si>
    <t>TXN-00673</t>
  </si>
  <si>
    <t>TXN-00674</t>
  </si>
  <si>
    <t>TXN-00675</t>
  </si>
  <si>
    <t>TXN-00676</t>
  </si>
  <si>
    <t>TXN-00677</t>
  </si>
  <si>
    <t>TXN-00678</t>
  </si>
  <si>
    <t>TXN-00679</t>
  </si>
  <si>
    <t>TXN-00680</t>
  </si>
  <si>
    <t>TXN-00681</t>
  </si>
  <si>
    <t>TXN-00682</t>
  </si>
  <si>
    <t>TXN-00683</t>
  </si>
  <si>
    <t>TXN-00684</t>
  </si>
  <si>
    <t>TXN-00685</t>
  </si>
  <si>
    <t>TXN-00686</t>
  </si>
  <si>
    <t>TXN-00687</t>
  </si>
  <si>
    <t>TXN-00688</t>
  </si>
  <si>
    <t>TXN-00689</t>
  </si>
  <si>
    <t>TXN-00690</t>
  </si>
  <si>
    <t>TXN-00691</t>
  </si>
  <si>
    <t>TXN-00692</t>
  </si>
  <si>
    <t>TXN-00693</t>
  </si>
  <si>
    <t>TXN-00694</t>
  </si>
  <si>
    <t>TXN-00695</t>
  </si>
  <si>
    <t>TXN-00696</t>
  </si>
  <si>
    <t>TXN-00697</t>
  </si>
  <si>
    <t>TXN-00698</t>
  </si>
  <si>
    <t>TXN-00699</t>
  </si>
  <si>
    <t>TXN-00700</t>
  </si>
  <si>
    <t>TXN-00701</t>
  </si>
  <si>
    <t>TXN-00702</t>
  </si>
  <si>
    <t>TXN-00703</t>
  </si>
  <si>
    <t>TXN-00704</t>
  </si>
  <si>
    <t>TXN-00705</t>
  </si>
  <si>
    <t>TXN-00706</t>
  </si>
  <si>
    <t>TXN-00707</t>
  </si>
  <si>
    <t>TXN-00708</t>
  </si>
  <si>
    <t>TXN-00709</t>
  </si>
  <si>
    <t>TXN-00710</t>
  </si>
  <si>
    <t>TXN-00711</t>
  </si>
  <si>
    <t>TXN-00712</t>
  </si>
  <si>
    <t>TXN-00713</t>
  </si>
  <si>
    <t>TXN-00714</t>
  </si>
  <si>
    <t>TXN-00715</t>
  </si>
  <si>
    <t>TXN-00716</t>
  </si>
  <si>
    <t>TXN-00717</t>
  </si>
  <si>
    <t>TXN-00718</t>
  </si>
  <si>
    <t>TXN-00719</t>
  </si>
  <si>
    <t>TXN-00720</t>
  </si>
  <si>
    <t>TXN-00721</t>
  </si>
  <si>
    <t>TXN-00722</t>
  </si>
  <si>
    <t>TXN-00723</t>
  </si>
  <si>
    <t>TXN-00724</t>
  </si>
  <si>
    <t>TXN-00725</t>
  </si>
  <si>
    <t>TXN-00726</t>
  </si>
  <si>
    <t>TXN-00727</t>
  </si>
  <si>
    <t>TXN-00728</t>
  </si>
  <si>
    <t>TXN-00729</t>
  </si>
  <si>
    <t>TXN-00730</t>
  </si>
  <si>
    <t>TXN-00731</t>
  </si>
  <si>
    <t>TXN-00732</t>
  </si>
  <si>
    <t>TXN-00733</t>
  </si>
  <si>
    <t>TXN-00734</t>
  </si>
  <si>
    <t>TXN-00735</t>
  </si>
  <si>
    <t>TXN-00736</t>
  </si>
  <si>
    <t>TXN-00737</t>
  </si>
  <si>
    <t>TXN-00738</t>
  </si>
  <si>
    <t>TXN-00739</t>
  </si>
  <si>
    <t>TXN-00740</t>
  </si>
  <si>
    <t>TXN-00741</t>
  </si>
  <si>
    <t>TXN-00742</t>
  </si>
  <si>
    <t>TXN-00743</t>
  </si>
  <si>
    <t>TXN-00744</t>
  </si>
  <si>
    <t>TXN-00745</t>
  </si>
  <si>
    <t>TXN-00746</t>
  </si>
  <si>
    <t>TXN-00747</t>
  </si>
  <si>
    <t>TXN-00748</t>
  </si>
  <si>
    <t>TXN-00749</t>
  </si>
  <si>
    <t>TXN-00750</t>
  </si>
  <si>
    <t>TXN-00751</t>
  </si>
  <si>
    <t>TXN-00752</t>
  </si>
  <si>
    <t>TXN-00753</t>
  </si>
  <si>
    <t>TXN-00754</t>
  </si>
  <si>
    <t>TXN-00755</t>
  </si>
  <si>
    <t>TXN-00756</t>
  </si>
  <si>
    <t>TXN-00757</t>
  </si>
  <si>
    <t>TXN-00758</t>
  </si>
  <si>
    <t>TXN-00759</t>
  </si>
  <si>
    <t>TXN-00760</t>
  </si>
  <si>
    <t>TXN-00761</t>
  </si>
  <si>
    <t>TXN-00762</t>
  </si>
  <si>
    <t>TXN-00763</t>
  </si>
  <si>
    <t>TXN-00764</t>
  </si>
  <si>
    <t>TXN-00765</t>
  </si>
  <si>
    <t>TXN-00766</t>
  </si>
  <si>
    <t>TXN-00767</t>
  </si>
  <si>
    <t>TXN-00768</t>
  </si>
  <si>
    <t>TXN-00769</t>
  </si>
  <si>
    <t>TXN-00770</t>
  </si>
  <si>
    <t>TXN-00771</t>
  </si>
  <si>
    <t>TXN-00772</t>
  </si>
  <si>
    <t>TXN-00773</t>
  </si>
  <si>
    <t>TXN-00774</t>
  </si>
  <si>
    <t>TXN-00775</t>
  </si>
  <si>
    <t>TXN-00776</t>
  </si>
  <si>
    <t>TXN-00777</t>
  </si>
  <si>
    <t>TXN-00778</t>
  </si>
  <si>
    <t>TXN-00779</t>
  </si>
  <si>
    <t>TXN-00780</t>
  </si>
  <si>
    <t>TXN-00781</t>
  </si>
  <si>
    <t>TXN-00782</t>
  </si>
  <si>
    <t>TXN-00783</t>
  </si>
  <si>
    <t>TXN-00784</t>
  </si>
  <si>
    <t>TXN-00785</t>
  </si>
  <si>
    <t>TXN-00786</t>
  </si>
  <si>
    <t>TXN-00787</t>
  </si>
  <si>
    <t>TXN-00788</t>
  </si>
  <si>
    <t>TXN-00789</t>
  </si>
  <si>
    <t>TXN-00790</t>
  </si>
  <si>
    <t>TXN-00791</t>
  </si>
  <si>
    <t>TXN-00792</t>
  </si>
  <si>
    <t>TXN-00793</t>
  </si>
  <si>
    <t>TXN-00794</t>
  </si>
  <si>
    <t>TXN-00795</t>
  </si>
  <si>
    <t>TXN-00796</t>
  </si>
  <si>
    <t>TXN-00797</t>
  </si>
  <si>
    <t>TXN-00798</t>
  </si>
  <si>
    <t>TXN-00799</t>
  </si>
  <si>
    <t>TXN-00800</t>
  </si>
  <si>
    <t>TXN-00801</t>
  </si>
  <si>
    <t>TXN-00802</t>
  </si>
  <si>
    <t>TXN-00803</t>
  </si>
  <si>
    <t>TXN-00804</t>
  </si>
  <si>
    <t>TXN-00805</t>
  </si>
  <si>
    <t>TXN-00806</t>
  </si>
  <si>
    <t>TXN-00807</t>
  </si>
  <si>
    <t>TXN-00808</t>
  </si>
  <si>
    <t>TXN-00809</t>
  </si>
  <si>
    <t>TXN-00810</t>
  </si>
  <si>
    <t>TXN-00811</t>
  </si>
  <si>
    <t>TXN-00812</t>
  </si>
  <si>
    <t>TXN-00813</t>
  </si>
  <si>
    <t>TXN-00814</t>
  </si>
  <si>
    <t>TXN-00815</t>
  </si>
  <si>
    <t>TXN-00816</t>
  </si>
  <si>
    <t>TXN-00817</t>
  </si>
  <si>
    <t>TXN-00818</t>
  </si>
  <si>
    <t>TXN-00819</t>
  </si>
  <si>
    <t>TXN-00820</t>
  </si>
  <si>
    <t>TXN-00821</t>
  </si>
  <si>
    <t>TXN-00822</t>
  </si>
  <si>
    <t>TXN-00823</t>
  </si>
  <si>
    <t>TXN-00824</t>
  </si>
  <si>
    <t>TXN-00825</t>
  </si>
  <si>
    <t>TXN-00826</t>
  </si>
  <si>
    <t>TXN-00827</t>
  </si>
  <si>
    <t>TXN-00828</t>
  </si>
  <si>
    <t>TXN-00829</t>
  </si>
  <si>
    <t>TXN-00830</t>
  </si>
  <si>
    <t>TXN-00831</t>
  </si>
  <si>
    <t>TXN-00832</t>
  </si>
  <si>
    <t>TXN-00833</t>
  </si>
  <si>
    <t>TXN-00834</t>
  </si>
  <si>
    <t>TXN-00835</t>
  </si>
  <si>
    <t>TXN-00836</t>
  </si>
  <si>
    <t>TXN-00837</t>
  </si>
  <si>
    <t>TXN-00838</t>
  </si>
  <si>
    <t>Non-stick Pan</t>
  </si>
  <si>
    <t>TXN-00839</t>
  </si>
  <si>
    <t>TXN-00840</t>
  </si>
  <si>
    <t>TXN-00841</t>
  </si>
  <si>
    <t>TXN-00842</t>
  </si>
  <si>
    <t>TXN-00843</t>
  </si>
  <si>
    <t>TXN-00844</t>
  </si>
  <si>
    <t>TXN-00845</t>
  </si>
  <si>
    <t>TXN-00846</t>
  </si>
  <si>
    <t>TXN-00847</t>
  </si>
  <si>
    <t>TXN-00848</t>
  </si>
  <si>
    <t>TXN-00849</t>
  </si>
  <si>
    <t>TXN-00850</t>
  </si>
  <si>
    <t>TXN-00851</t>
  </si>
  <si>
    <t>TXN-00852</t>
  </si>
  <si>
    <t>TXN-00853</t>
  </si>
  <si>
    <t>TXN-00854</t>
  </si>
  <si>
    <t>TXN-00855</t>
  </si>
  <si>
    <t>TXN-00856</t>
  </si>
  <si>
    <t>TXN-00857</t>
  </si>
  <si>
    <t>TXN-00858</t>
  </si>
  <si>
    <t>TXN-00859</t>
  </si>
  <si>
    <t>TXN-00860</t>
  </si>
  <si>
    <t>TXN-00861</t>
  </si>
  <si>
    <t>TXN-00862</t>
  </si>
  <si>
    <t>TXN-00863</t>
  </si>
  <si>
    <t>TXN-00864</t>
  </si>
  <si>
    <t>TXN-00865</t>
  </si>
  <si>
    <t>TXN-00866</t>
  </si>
  <si>
    <t>TXN-00867</t>
  </si>
  <si>
    <t>TXN-00868</t>
  </si>
  <si>
    <t>TXN-00869</t>
  </si>
  <si>
    <t>TXN-00870</t>
  </si>
  <si>
    <t>TXN-00871</t>
  </si>
  <si>
    <t>TXN-00872</t>
  </si>
  <si>
    <t>TXN-00873</t>
  </si>
  <si>
    <t>TXN-00874</t>
  </si>
  <si>
    <t>TXN-00875</t>
  </si>
  <si>
    <t>TXN-00876</t>
  </si>
  <si>
    <t>TXN-00877</t>
  </si>
  <si>
    <t>TXN-00878</t>
  </si>
  <si>
    <t>TXN-00879</t>
  </si>
  <si>
    <t>TXN-00880</t>
  </si>
  <si>
    <t>TXN-00881</t>
  </si>
  <si>
    <t>TXN-00882</t>
  </si>
  <si>
    <t>TXN-00883</t>
  </si>
  <si>
    <t>TXN-00884</t>
  </si>
  <si>
    <t>TXN-00885</t>
  </si>
  <si>
    <t>TXN-00886</t>
  </si>
  <si>
    <t>TXN-00887</t>
  </si>
  <si>
    <t>TXN-00888</t>
  </si>
  <si>
    <t>TXN-00889</t>
  </si>
  <si>
    <t>TXN-00890</t>
  </si>
  <si>
    <t>TXN-00891</t>
  </si>
  <si>
    <t>TXN-00892</t>
  </si>
  <si>
    <t>TXN-00893</t>
  </si>
  <si>
    <t>TXN-00894</t>
  </si>
  <si>
    <t>TXN-00895</t>
  </si>
  <si>
    <t>TXN-00896</t>
  </si>
  <si>
    <t>TXN-00897</t>
  </si>
  <si>
    <t>TXN-00898</t>
  </si>
  <si>
    <t>TXN-00899</t>
  </si>
  <si>
    <t>TXN-00900</t>
  </si>
  <si>
    <t>TXN-00901</t>
  </si>
  <si>
    <t>TXN-00902</t>
  </si>
  <si>
    <t>TXN-00903</t>
  </si>
  <si>
    <t>TXN-00904</t>
  </si>
  <si>
    <t>TXN-00905</t>
  </si>
  <si>
    <t>TXN-00906</t>
  </si>
  <si>
    <t>TXN-00907</t>
  </si>
  <si>
    <t>TXN-00908</t>
  </si>
  <si>
    <t>TXN-00909</t>
  </si>
  <si>
    <t>TXN-00910</t>
  </si>
  <si>
    <t>TXN-00911</t>
  </si>
  <si>
    <t>TXN-00912</t>
  </si>
  <si>
    <t>TXN-00913</t>
  </si>
  <si>
    <t>TXN-00914</t>
  </si>
  <si>
    <t>TXN-00915</t>
  </si>
  <si>
    <t>TXN-00916</t>
  </si>
  <si>
    <t>TXN-00917</t>
  </si>
  <si>
    <t>TXN-00918</t>
  </si>
  <si>
    <t>TXN-00919</t>
  </si>
  <si>
    <t>TXN-00920</t>
  </si>
  <si>
    <t>TXN-00921</t>
  </si>
  <si>
    <t>TXN-00922</t>
  </si>
  <si>
    <t>TXN-00923</t>
  </si>
  <si>
    <t>TXN-00924</t>
  </si>
  <si>
    <t>TXN-00925</t>
  </si>
  <si>
    <t>TXN-00926</t>
  </si>
  <si>
    <t>TXN-00927</t>
  </si>
  <si>
    <t>TXN-00928</t>
  </si>
  <si>
    <t>TXN-00929</t>
  </si>
  <si>
    <t>TXN-00930</t>
  </si>
  <si>
    <t>TXN-00931</t>
  </si>
  <si>
    <t>TXN-00932</t>
  </si>
  <si>
    <t>TXN-00933</t>
  </si>
  <si>
    <t>TXN-00934</t>
  </si>
  <si>
    <t>TXN-00935</t>
  </si>
  <si>
    <t>TXN-00936</t>
  </si>
  <si>
    <t>TXN-00937</t>
  </si>
  <si>
    <t>TXN-00938</t>
  </si>
  <si>
    <t>TXN-00939</t>
  </si>
  <si>
    <t>TXN-00940</t>
  </si>
  <si>
    <t>TXN-00941</t>
  </si>
  <si>
    <t>TXN-00942</t>
  </si>
  <si>
    <t>TXN-00943</t>
  </si>
  <si>
    <t>TXN-00944</t>
  </si>
  <si>
    <t>TXN-00945</t>
  </si>
  <si>
    <t>TXN-00946</t>
  </si>
  <si>
    <t>TXN-00947</t>
  </si>
  <si>
    <t>TXN-00948</t>
  </si>
  <si>
    <t>TXN-00949</t>
  </si>
  <si>
    <t>TXN-00950</t>
  </si>
  <si>
    <t>TXN-00951</t>
  </si>
  <si>
    <t>TXN-00952</t>
  </si>
  <si>
    <t>TXN-00953</t>
  </si>
  <si>
    <t>TXN-00954</t>
  </si>
  <si>
    <t>TXN-00955</t>
  </si>
  <si>
    <t>TXN-00956</t>
  </si>
  <si>
    <t>TXN-00957</t>
  </si>
  <si>
    <t>TXN-00958</t>
  </si>
  <si>
    <t>TXN-00959</t>
  </si>
  <si>
    <t>TXN-00960</t>
  </si>
  <si>
    <t>TXN-00961</t>
  </si>
  <si>
    <t>TXN-00962</t>
  </si>
  <si>
    <t>TXN-00963</t>
  </si>
  <si>
    <t>TXN-00964</t>
  </si>
  <si>
    <t>TXN-00965</t>
  </si>
  <si>
    <t>TXN-00966</t>
  </si>
  <si>
    <t>TXN-00967</t>
  </si>
  <si>
    <t>TXN-00968</t>
  </si>
  <si>
    <t>TXN-00969</t>
  </si>
  <si>
    <t>TXN-00970</t>
  </si>
  <si>
    <t>TXN-00971</t>
  </si>
  <si>
    <t>TXN-00972</t>
  </si>
  <si>
    <t>TXN-00973</t>
  </si>
  <si>
    <t>TXN-00974</t>
  </si>
  <si>
    <t>TXN-00975</t>
  </si>
  <si>
    <t>TXN-00976</t>
  </si>
  <si>
    <t>TXN-00977</t>
  </si>
  <si>
    <t>TXN-00978</t>
  </si>
  <si>
    <t>TXN-00979</t>
  </si>
  <si>
    <t>TXN-00980</t>
  </si>
  <si>
    <t>TXN-00981</t>
  </si>
  <si>
    <t>TXN-00982</t>
  </si>
  <si>
    <t>TXN-00983</t>
  </si>
  <si>
    <t>TXN-00984</t>
  </si>
  <si>
    <t>TXN-00985</t>
  </si>
  <si>
    <t>TXN-00986</t>
  </si>
  <si>
    <t>TXN-00987</t>
  </si>
  <si>
    <t>TXN-00988</t>
  </si>
  <si>
    <t>TXN-00989</t>
  </si>
  <si>
    <t>TXN-00990</t>
  </si>
  <si>
    <t>TXN-00991</t>
  </si>
  <si>
    <t>TXN-00992</t>
  </si>
  <si>
    <t>TXN-00993</t>
  </si>
  <si>
    <t>TXN-00994</t>
  </si>
  <si>
    <t>TXN-00995</t>
  </si>
  <si>
    <t>TXN-00996</t>
  </si>
  <si>
    <t>TXN-00997</t>
  </si>
  <si>
    <t>TXN-00998</t>
  </si>
  <si>
    <t>TXN-00999</t>
  </si>
  <si>
    <t>TXN-01000</t>
  </si>
  <si>
    <t>Sum of Net Sales (PKR)</t>
  </si>
  <si>
    <t>Row Labels</t>
  </si>
  <si>
    <t>Grand Total</t>
  </si>
  <si>
    <t>Column Labels</t>
  </si>
  <si>
    <t>Sum of Quantity</t>
  </si>
  <si>
    <t>Sum of Discount Amount (PKR)</t>
  </si>
  <si>
    <t>Count of Transaction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</si>
</sst>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quot;PKR &quot;#,##0"/>
    <numFmt numFmtId="166" formatCode="0.0%"/>
  </numFmts>
  <fonts count="3">
    <font>
      <sz val="11"/>
      <color theme="1"/>
      <name val="Calibri"/>
      <family val="2"/>
      <charset val="1"/>
    </font>
    <font>
      <sz val="11"/>
      <color rgb="FFFFFFFF"/>
      <name val="Noto Sans CJK SC"/>
      <charset val="1"/>
    </font>
    <font>
      <sz val="11"/>
      <color rgb="FF37352F"/>
      <name val="Noto Sans CJK SC"/>
      <charset val="1"/>
    </font>
  </fonts>
  <fills count="5">
    <fill>
      <patternFill patternType="none"/>
    </fill>
    <fill>
      <patternFill patternType="gray125"/>
    </fill>
    <fill>
      <patternFill patternType="solid">
        <fgColor rgb="FF1B2A4A"/>
        <bgColor rgb="FF37352F"/>
      </patternFill>
    </fill>
    <fill>
      <patternFill patternType="solid">
        <fgColor rgb="FFFFFFFF"/>
        <bgColor rgb="FFF7F7F5"/>
      </patternFill>
    </fill>
    <fill>
      <patternFill patternType="solid">
        <fgColor rgb="FFF7F7F5"/>
        <bgColor rgb="FFFFFFFF"/>
      </patternFill>
    </fill>
  </fills>
  <borders count="2">
    <border>
      <left/>
      <right/>
      <top/>
      <bottom/>
      <diagonal/>
    </border>
    <border>
      <left/>
      <right/>
      <top/>
      <bottom style="thin">
        <color rgb="FFE9E9E8"/>
      </bottom>
      <diagonal/>
    </border>
  </borders>
  <cellStyleXfs count="1">
    <xf numFmtId="0" fontId="0" fillId="0" borderId="0"/>
  </cellStyleXfs>
  <cellXfs count="22">
    <xf numFmtId="0" fontId="0" fillId="0" borderId="0" xfId="0"/>
    <xf numFmtId="0" fontId="1" fillId="2" borderId="1" xfId="0" applyFont="1" applyFill="1" applyBorder="1" applyAlignment="1">
      <alignment horizontal="center" vertical="center" wrapText="1"/>
    </xf>
    <xf numFmtId="0" fontId="2" fillId="3" borderId="0" xfId="0" applyFont="1" applyFill="1" applyAlignment="1">
      <alignment horizontal="left" vertical="center"/>
    </xf>
    <xf numFmtId="164" fontId="2" fillId="3" borderId="0" xfId="0" applyNumberFormat="1" applyFont="1" applyFill="1" applyAlignment="1">
      <alignment horizontal="center" vertical="center"/>
    </xf>
    <xf numFmtId="1" fontId="2" fillId="3" borderId="0" xfId="0" applyNumberFormat="1" applyFont="1" applyFill="1" applyAlignment="1">
      <alignment horizontal="right" vertical="center"/>
    </xf>
    <xf numFmtId="3" fontId="2" fillId="3" borderId="0" xfId="0" applyNumberFormat="1" applyFont="1" applyFill="1" applyAlignment="1">
      <alignment horizontal="right" vertical="center"/>
    </xf>
    <xf numFmtId="165" fontId="2" fillId="3" borderId="0" xfId="0" applyNumberFormat="1" applyFont="1" applyFill="1" applyAlignment="1">
      <alignment horizontal="right" vertical="center"/>
    </xf>
    <xf numFmtId="166" fontId="2" fillId="3" borderId="0" xfId="0" applyNumberFormat="1" applyFont="1" applyFill="1" applyAlignment="1">
      <alignment horizontal="right" vertical="center"/>
    </xf>
    <xf numFmtId="0" fontId="2" fillId="4" borderId="0" xfId="0" applyFont="1" applyFill="1" applyAlignment="1">
      <alignment horizontal="left" vertical="center"/>
    </xf>
    <xf numFmtId="164" fontId="2" fillId="4" borderId="0" xfId="0" applyNumberFormat="1" applyFont="1" applyFill="1" applyAlignment="1">
      <alignment horizontal="center" vertical="center"/>
    </xf>
    <xf numFmtId="1" fontId="2" fillId="4" borderId="0" xfId="0" applyNumberFormat="1" applyFont="1" applyFill="1" applyAlignment="1">
      <alignment horizontal="right" vertical="center"/>
    </xf>
    <xf numFmtId="3" fontId="2" fillId="4" borderId="0" xfId="0" applyNumberFormat="1" applyFont="1" applyFill="1" applyAlignment="1">
      <alignment horizontal="right" vertical="center"/>
    </xf>
    <xf numFmtId="165" fontId="2" fillId="4" borderId="0" xfId="0" applyNumberFormat="1" applyFont="1" applyFill="1" applyAlignment="1">
      <alignment horizontal="right" vertical="center"/>
    </xf>
    <xf numFmtId="166" fontId="2" fillId="4" borderId="0" xfId="0" applyNumberFormat="1" applyFont="1" applyFill="1" applyAlignment="1">
      <alignment horizontal="right" vertical="center"/>
    </xf>
    <xf numFmtId="165"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 fontId="0" fillId="0" borderId="0" xfId="0" applyNumberFormat="1"/>
    <xf numFmtId="1" fontId="0" fillId="0" borderId="0" xfId="0" applyNumberFormat="1" applyAlignment="1">
      <alignment horizontal="left"/>
    </xf>
    <xf numFmtId="3" fontId="0" fillId="0" borderId="0" xfId="0" applyNumberFormat="1"/>
    <xf numFmtId="0" fontId="0" fillId="0" borderId="0" xfId="0" applyNumberForma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C8A84"/>
      <rgbColor rgb="FF9999FF"/>
      <rgbColor rgb="FF993366"/>
      <rgbColor rgb="FFF7F7F5"/>
      <rgbColor rgb="FFE9E9E8"/>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B2A4A"/>
      <rgbColor rgb="FF339966"/>
      <rgbColor rgb="FF003300"/>
      <rgbColor rgb="FF333300"/>
      <rgbColor rgb="FF993300"/>
      <rgbColor rgb="FF993366"/>
      <rgbColor rgb="FF333399"/>
      <rgbColor rgb="FF37352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[imitiaz_sales.xlsx]year wise sales!PivotTable2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a:t>
            </a:r>
            <a:r>
              <a:rPr lang="en-US" baseline="0"/>
              <a:t> wise Sales</a:t>
            </a:r>
          </a:p>
        </c:rich>
      </c:tx>
      <c:layout>
        <c:manualLayout>
          <c:xMode val="edge"/>
          <c:yMode val="edge"/>
          <c:x val="0.33377777777777778"/>
          <c:y val="4.32900432900432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'year wise sales'!$B$3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B6C-49AA-BDFE-10AEC742378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B6C-49AA-BDFE-10AEC742378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B6C-49AA-BDFE-10AEC7423783}"/>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'year wise sales'!$A$4:$A$7</c:f>
              <c:strCache>
                <c:ptCount val="3"/>
                <c:pt idx="0">
                  <c:v>2023</c:v>
                </c:pt>
                <c:pt idx="1">
                  <c:v>2024</c:v>
                </c:pt>
                <c:pt idx="2">
                  <c:v>2025</c:v>
                </c:pt>
              </c:strCache>
            </c:strRef>
          </c:cat>
          <c:val>
            <c:numRef>
              <c:f>'year wise sales'!$B$4:$B$7</c:f>
              <c:numCache>
                <c:formatCode>"PKR "#,##0</c:formatCode>
                <c:ptCount val="3"/>
                <c:pt idx="0">
                  <c:v>2961343.4299999997</c:v>
                </c:pt>
                <c:pt idx="1">
                  <c:v>2928472.669999999</c:v>
                </c:pt>
                <c:pt idx="2">
                  <c:v>2842390.8000000007</c:v>
                </c:pt>
              </c:numCache>
            </c:numRef>
          </c:val>
          <c:extLst>
            <c:ext xmlns:c16="http://schemas.microsoft.com/office/drawing/2014/chart" uri="{C3380CC4-5D6E-409C-BE32-E72D297353CC}">
              <c16:uniqueId val="{00000000-FA20-43CE-AADE-C8BB90EF161E}"/>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[imitiaz_sales.xlsx]category wise sales!PivotTable3</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Category wise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a:gsLst>
              <a:gs pos="0">
                <a:schemeClr val="accent6">
                  <a:shade val="51000"/>
                </a:schemeClr>
              </a:gs>
              <a:gs pos="80000">
                <a:schemeClr val="accent6">
                  <a:shade val="93000"/>
                </a:schemeClr>
              </a:gs>
              <a:gs pos="100000">
                <a:schemeClr val="accent6">
                  <a:shade val="94000"/>
                </a:schemeClr>
              </a:gs>
            </a:gsLst>
            <a:lin ang="162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'category wise sales'!$B$3</c:f>
              <c:strCache>
                <c:ptCount val="1"/>
                <c:pt idx="0">
                  <c:v>Total</c:v>
                </c:pt>
              </c:strCache>
            </c:strRef>
          </c:tx>
          <c:spPr>
            <a:gradFill>
              <a:gsLst>
                <a:gs pos="0">
                  <a:schemeClr val="accent6">
                    <a:shade val="51000"/>
                  </a:schemeClr>
                </a:gs>
                <a:gs pos="80000">
                  <a:schemeClr val="accent6">
                    <a:shade val="93000"/>
                  </a:schemeClr>
                </a:gs>
                <a:gs pos="100000">
                  <a:schemeClr val="accent6">
                    <a:shade val="94000"/>
                  </a:schemeClr>
                </a:gs>
              </a:gsLst>
              <a:lin ang="16200000" scaled="0"/>
              <a:tileRect/>
            </a:gradFill>
            <a:ln>
              <a:noFill/>
            </a:ln>
            <a:effectLst/>
          </c:spPr>
          <c:invertIfNegative val="0"/>
          <c:cat>
            <c:strRef>
              <c:f>'category wise sales'!$A$4:$A$12</c:f>
              <c:strCache>
                <c:ptCount val="8"/>
                <c:pt idx="0">
                  <c:v>Apparel</c:v>
                </c:pt>
                <c:pt idx="1">
                  <c:v>Bakery</c:v>
                </c:pt>
                <c:pt idx="2">
                  <c:v>Cosmetics</c:v>
                </c:pt>
                <c:pt idx="3">
                  <c:v>Electronics</c:v>
                </c:pt>
                <c:pt idx="4">
                  <c:v>Fresh Produce</c:v>
                </c:pt>
                <c:pt idx="5">
                  <c:v>Groceries</c:v>
                </c:pt>
                <c:pt idx="6">
                  <c:v>Household</c:v>
                </c:pt>
                <c:pt idx="7">
                  <c:v>Toys</c:v>
                </c:pt>
              </c:strCache>
            </c:strRef>
          </c:cat>
          <c:val>
            <c:numRef>
              <c:f>'category wise sales'!$B$4:$B$12</c:f>
              <c:numCache>
                <c:formatCode>"PKR "#,##0</c:formatCode>
                <c:ptCount val="8"/>
                <c:pt idx="0">
                  <c:v>465362.14999999997</c:v>
                </c:pt>
                <c:pt idx="1">
                  <c:v>430207.61</c:v>
                </c:pt>
                <c:pt idx="2">
                  <c:v>354838.98999999993</c:v>
                </c:pt>
                <c:pt idx="3">
                  <c:v>5583942.7000000002</c:v>
                </c:pt>
                <c:pt idx="4">
                  <c:v>353001.83</c:v>
                </c:pt>
                <c:pt idx="5">
                  <c:v>736502.70000000019</c:v>
                </c:pt>
                <c:pt idx="6">
                  <c:v>350286.68000000005</c:v>
                </c:pt>
                <c:pt idx="7">
                  <c:v>458064.23999999982</c:v>
                </c:pt>
              </c:numCache>
            </c:numRef>
          </c:val>
          <c:extLst>
            <c:ext xmlns:c16="http://schemas.microsoft.com/office/drawing/2014/chart" uri="{C3380CC4-5D6E-409C-BE32-E72D297353CC}">
              <c16:uniqueId val="{00000000-640B-4077-99AE-CA6CA8C2B6F5}"/>
            </c:ext>
          </c:extLst>
        </c:ser>
        <c:dLbls>
          <c:showLegendKey val="0"/>
          <c:showVal val="0"/>
          <c:showCatName val="0"/>
          <c:showSerName val="0"/>
          <c:showPercent val="0"/>
          <c:showBubbleSize val="0"/>
        </c:dLbls>
        <c:gapWidth val="150"/>
        <c:overlap val="100"/>
        <c:axId val="1723807568"/>
        <c:axId val="1723824368"/>
      </c:barChart>
      <c:catAx>
        <c:axId val="172380756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23824368"/>
        <c:crosses val="autoZero"/>
        <c:auto val="1"/>
        <c:lblAlgn val="ctr"/>
        <c:lblOffset val="100"/>
        <c:noMultiLvlLbl val="0"/>
      </c:catAx>
      <c:valAx>
        <c:axId val="1723824368"/>
        <c:scaling>
          <c:orientation val="minMax"/>
        </c:scaling>
        <c:delete val="0"/>
        <c:axPos val="b"/>
        <c:majorGridlines>
          <c:spPr>
            <a:ln w="9525" cap="flat" cmpd="sng" algn="ctr">
              <a:solidFill>
                <a:schemeClr val="lt1">
                  <a:lumMod val="95000"/>
                  <a:alpha val="10000"/>
                </a:schemeClr>
              </a:solidFill>
              <a:round/>
            </a:ln>
            <a:effectLst/>
          </c:spPr>
        </c:majorGridlines>
        <c:numFmt formatCode="&quot;PKR &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23807568"/>
        <c:crosses val="autoZero"/>
        <c:crossBetween val="between"/>
        <c:dispUnits>
          <c:builtInUnit val="thousands"/>
          <c:dispUnitsLbl>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[imitiaz_sales.xlsx]Branxh wise sales!PivotTable4</c:name>
    <c:fmtId val="1"/>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Branch wise sales</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F81BD">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'Branxh wise sales'!$B$3</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F81BD">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'Branxh wise sales'!$A$4:$A$8</c:f>
              <c:strCache>
                <c:ptCount val="4"/>
                <c:pt idx="0">
                  <c:v>Hyderabad - Latifabad</c:v>
                </c:pt>
                <c:pt idx="1">
                  <c:v>Islamabad - F-7</c:v>
                </c:pt>
                <c:pt idx="2">
                  <c:v>Karachi - Tariq Road</c:v>
                </c:pt>
                <c:pt idx="3">
                  <c:v>Lahore - MM Alam</c:v>
                </c:pt>
              </c:strCache>
            </c:strRef>
          </c:cat>
          <c:val>
            <c:numRef>
              <c:f>'Branxh wise sales'!$B$4:$B$8</c:f>
              <c:numCache>
                <c:formatCode>"PKR "#,##0</c:formatCode>
                <c:ptCount val="4"/>
                <c:pt idx="0">
                  <c:v>2144047.2600000002</c:v>
                </c:pt>
                <c:pt idx="1">
                  <c:v>2144449.1799999997</c:v>
                </c:pt>
                <c:pt idx="2">
                  <c:v>1877322.4100000001</c:v>
                </c:pt>
                <c:pt idx="3">
                  <c:v>2566388.0499999998</c:v>
                </c:pt>
              </c:numCache>
            </c:numRef>
          </c:val>
          <c:extLst>
            <c:ext xmlns:c16="http://schemas.microsoft.com/office/drawing/2014/chart" uri="{C3380CC4-5D6E-409C-BE32-E72D297353CC}">
              <c16:uniqueId val="{00000000-C9A8-46F1-90A6-EB5FA7118454}"/>
            </c:ext>
          </c:extLst>
        </c:ser>
        <c:dLbls>
          <c:showLegendKey val="0"/>
          <c:showVal val="1"/>
          <c:showCatName val="0"/>
          <c:showSerName val="0"/>
          <c:showPercent val="0"/>
          <c:showBubbleSize val="0"/>
        </c:dLbls>
        <c:gapWidth val="84"/>
        <c:gapDepth val="53"/>
        <c:shape val="box"/>
        <c:axId val="1520058992"/>
        <c:axId val="1520029712"/>
        <c:axId val="0"/>
      </c:bar3DChart>
      <c:catAx>
        <c:axId val="15200589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20029712"/>
        <c:crosses val="autoZero"/>
        <c:auto val="1"/>
        <c:lblAlgn val="ctr"/>
        <c:lblOffset val="100"/>
        <c:noMultiLvlLbl val="0"/>
      </c:catAx>
      <c:valAx>
        <c:axId val="1520029712"/>
        <c:scaling>
          <c:orientation val="minMax"/>
        </c:scaling>
        <c:delete val="1"/>
        <c:axPos val="l"/>
        <c:numFmt formatCode="&quot;PKR &quot;#,##0" sourceLinked="1"/>
        <c:majorTickMark val="out"/>
        <c:minorTickMark val="none"/>
        <c:tickLblPos val="nextTo"/>
        <c:crossAx val="1520058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[imitiaz_sales.xlsx]Top 10 product sales!PivotTable5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product sales'!$B$3</c:f>
              <c:strCache>
                <c:ptCount val="1"/>
                <c:pt idx="0">
                  <c:v>Sum of Quantity</c:v>
                </c:pt>
              </c:strCache>
            </c:strRef>
          </c:tx>
          <c:spPr>
            <a:solidFill>
              <a:schemeClr val="accent1"/>
            </a:solidFill>
            <a:ln>
              <a:noFill/>
            </a:ln>
            <a:effectLst/>
          </c:spPr>
          <c:invertIfNegative val="0"/>
          <c:cat>
            <c:strRef>
              <c:f>'Top 10 product sales'!$A$4:$A$14</c:f>
              <c:strCache>
                <c:ptCount val="10"/>
                <c:pt idx="0">
                  <c:v>Sandwich Maker</c:v>
                </c:pt>
                <c:pt idx="1">
                  <c:v>Phablet 128GB</c:v>
                </c:pt>
                <c:pt idx="2">
                  <c:v>Microwave Oven</c:v>
                </c:pt>
                <c:pt idx="3">
                  <c:v>USB Cable Type-C</c:v>
                </c:pt>
                <c:pt idx="4">
                  <c:v>Bluetooth Speaker</c:v>
                </c:pt>
                <c:pt idx="5">
                  <c:v>Sound Bar</c:v>
                </c:pt>
                <c:pt idx="6">
                  <c:v>Phone Case Set</c:v>
                </c:pt>
                <c:pt idx="7">
                  <c:v>Smartphone 64GB</c:v>
                </c:pt>
                <c:pt idx="8">
                  <c:v>Wireless Earbuds</c:v>
                </c:pt>
                <c:pt idx="9">
                  <c:v>Air Fryer</c:v>
                </c:pt>
              </c:strCache>
            </c:strRef>
          </c:cat>
          <c:val>
            <c:numRef>
              <c:f>'Top 10 product sales'!$B$4:$B$14</c:f>
              <c:numCache>
                <c:formatCode>#,##0</c:formatCode>
                <c:ptCount val="10"/>
                <c:pt idx="0">
                  <c:v>11</c:v>
                </c:pt>
                <c:pt idx="1">
                  <c:v>9</c:v>
                </c:pt>
                <c:pt idx="2">
                  <c:v>15</c:v>
                </c:pt>
                <c:pt idx="3">
                  <c:v>12</c:v>
                </c:pt>
                <c:pt idx="4">
                  <c:v>10</c:v>
                </c:pt>
                <c:pt idx="5">
                  <c:v>12</c:v>
                </c:pt>
                <c:pt idx="6">
                  <c:v>11</c:v>
                </c:pt>
                <c:pt idx="7">
                  <c:v>12</c:v>
                </c:pt>
                <c:pt idx="8">
                  <c:v>11</c:v>
                </c:pt>
                <c:pt idx="9">
                  <c:v>7</c:v>
                </c:pt>
              </c:numCache>
            </c:numRef>
          </c:val>
          <c:extLst>
            <c:ext xmlns:c16="http://schemas.microsoft.com/office/drawing/2014/chart" uri="{C3380CC4-5D6E-409C-BE32-E72D297353CC}">
              <c16:uniqueId val="{00000000-3C30-4D10-8BEE-C40CF54E6BA7}"/>
            </c:ext>
          </c:extLst>
        </c:ser>
        <c:dLbls>
          <c:showLegendKey val="0"/>
          <c:showVal val="0"/>
          <c:showCatName val="0"/>
          <c:showSerName val="0"/>
          <c:showPercent val="0"/>
          <c:showBubbleSize val="0"/>
        </c:dLbls>
        <c:gapWidth val="219"/>
        <c:axId val="1812060016"/>
        <c:axId val="1812058096"/>
      </c:barChart>
      <c:lineChart>
        <c:grouping val="standard"/>
        <c:varyColors val="0"/>
        <c:ser>
          <c:idx val="1"/>
          <c:order val="1"/>
          <c:tx>
            <c:strRef>
              <c:f>'Top 10 product sales'!$C$3</c:f>
              <c:strCache>
                <c:ptCount val="1"/>
                <c:pt idx="0">
                  <c:v>Sum of Net Sales (PKR)</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'Top 10 product sales'!$A$4:$A$14</c:f>
              <c:strCache>
                <c:ptCount val="10"/>
                <c:pt idx="0">
                  <c:v>Sandwich Maker</c:v>
                </c:pt>
                <c:pt idx="1">
                  <c:v>Phablet 128GB</c:v>
                </c:pt>
                <c:pt idx="2">
                  <c:v>Microwave Oven</c:v>
                </c:pt>
                <c:pt idx="3">
                  <c:v>USB Cable Type-C</c:v>
                </c:pt>
                <c:pt idx="4">
                  <c:v>Bluetooth Speaker</c:v>
                </c:pt>
                <c:pt idx="5">
                  <c:v>Sound Bar</c:v>
                </c:pt>
                <c:pt idx="6">
                  <c:v>Phone Case Set</c:v>
                </c:pt>
                <c:pt idx="7">
                  <c:v>Smartphone 64GB</c:v>
                </c:pt>
                <c:pt idx="8">
                  <c:v>Wireless Earbuds</c:v>
                </c:pt>
                <c:pt idx="9">
                  <c:v>Air Fryer</c:v>
                </c:pt>
              </c:strCache>
            </c:strRef>
          </c:cat>
          <c:val>
            <c:numRef>
              <c:f>'Top 10 product sales'!$C$4:$C$14</c:f>
              <c:numCache>
                <c:formatCode>"PKR "#,##0</c:formatCode>
                <c:ptCount val="10"/>
                <c:pt idx="0">
                  <c:v>496933.5</c:v>
                </c:pt>
                <c:pt idx="1">
                  <c:v>485919</c:v>
                </c:pt>
                <c:pt idx="2">
                  <c:v>473616.7</c:v>
                </c:pt>
                <c:pt idx="3">
                  <c:v>446468.95</c:v>
                </c:pt>
                <c:pt idx="4">
                  <c:v>444456</c:v>
                </c:pt>
                <c:pt idx="5">
                  <c:v>433382.5</c:v>
                </c:pt>
                <c:pt idx="6">
                  <c:v>404404</c:v>
                </c:pt>
                <c:pt idx="7">
                  <c:v>341124.55</c:v>
                </c:pt>
                <c:pt idx="8">
                  <c:v>333468</c:v>
                </c:pt>
                <c:pt idx="9">
                  <c:v>304500</c:v>
                </c:pt>
              </c:numCache>
            </c:numRef>
          </c:val>
          <c:smooth val="0"/>
          <c:extLst>
            <c:ext xmlns:c16="http://schemas.microsoft.com/office/drawing/2014/chart" uri="{C3380CC4-5D6E-409C-BE32-E72D297353CC}">
              <c16:uniqueId val="{00000001-3C30-4D10-8BEE-C40CF54E6BA7}"/>
            </c:ext>
          </c:extLst>
        </c:ser>
        <c:dLbls>
          <c:showLegendKey val="0"/>
          <c:showVal val="0"/>
          <c:showCatName val="0"/>
          <c:showSerName val="0"/>
          <c:showPercent val="0"/>
          <c:showBubbleSize val="0"/>
        </c:dLbls>
        <c:marker val="1"/>
        <c:smooth val="0"/>
        <c:axId val="1812055696"/>
        <c:axId val="1812056176"/>
      </c:lineChart>
      <c:catAx>
        <c:axId val="1812055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056176"/>
        <c:crosses val="autoZero"/>
        <c:auto val="1"/>
        <c:lblAlgn val="ctr"/>
        <c:lblOffset val="100"/>
        <c:noMultiLvlLbl val="0"/>
      </c:catAx>
      <c:valAx>
        <c:axId val="1812056176"/>
        <c:scaling>
          <c:orientation val="minMax"/>
        </c:scaling>
        <c:delete val="0"/>
        <c:axPos val="l"/>
        <c:majorGridlines>
          <c:spPr>
            <a:ln w="9525" cap="flat" cmpd="sng" algn="ctr">
              <a:solidFill>
                <a:schemeClr val="tx1">
                  <a:lumMod val="15000"/>
                  <a:lumOff val="85000"/>
                </a:schemeClr>
              </a:solidFill>
              <a:round/>
            </a:ln>
            <a:effectLst/>
          </c:spPr>
        </c:majorGridlines>
        <c:numFmt formatCode="&quot;PKR &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055696"/>
        <c:crosses val="autoZero"/>
        <c:crossBetween val="between"/>
      </c:valAx>
      <c:valAx>
        <c:axId val="1812058096"/>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060016"/>
        <c:crosses val="max"/>
        <c:crossBetween val="between"/>
      </c:valAx>
      <c:catAx>
        <c:axId val="1812060016"/>
        <c:scaling>
          <c:orientation val="minMax"/>
        </c:scaling>
        <c:delete val="1"/>
        <c:axPos val="b"/>
        <c:numFmt formatCode="General" sourceLinked="1"/>
        <c:majorTickMark val="out"/>
        <c:minorTickMark val="none"/>
        <c:tickLblPos val="nextTo"/>
        <c:crossAx val="181205809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[imitiaz_sales.xlsx]year wise sales!PivotTable2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a:t>
            </a:r>
            <a:r>
              <a:rPr lang="en-US" baseline="0"/>
              <a:t> wise Sales</a:t>
            </a:r>
          </a:p>
        </c:rich>
      </c:tx>
      <c:layout>
        <c:manualLayout>
          <c:xMode val="edge"/>
          <c:yMode val="edge"/>
          <c:x val="0.33377777777777778"/>
          <c:y val="4.32900432900432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'year wise sales'!$B$3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6D0-49F7-88FB-4AC55F85A37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6D0-49F7-88FB-4AC55F85A37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6D0-49F7-88FB-4AC55F85A376}"/>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'year wise sales'!$A$4:$A$7</c:f>
              <c:strCache>
                <c:ptCount val="3"/>
                <c:pt idx="0">
                  <c:v>2023</c:v>
                </c:pt>
                <c:pt idx="1">
                  <c:v>2024</c:v>
                </c:pt>
                <c:pt idx="2">
                  <c:v>2025</c:v>
                </c:pt>
              </c:strCache>
            </c:strRef>
          </c:cat>
          <c:val>
            <c:numRef>
              <c:f>'year wise sales'!$B$4:$B$7</c:f>
              <c:numCache>
                <c:formatCode>"PKR "#,##0</c:formatCode>
                <c:ptCount val="3"/>
                <c:pt idx="0">
                  <c:v>2961343.4299999997</c:v>
                </c:pt>
                <c:pt idx="1">
                  <c:v>2928472.669999999</c:v>
                </c:pt>
                <c:pt idx="2">
                  <c:v>2842390.8000000007</c:v>
                </c:pt>
              </c:numCache>
            </c:numRef>
          </c:val>
          <c:extLst>
            <c:ext xmlns:c16="http://schemas.microsoft.com/office/drawing/2014/chart" uri="{C3380CC4-5D6E-409C-BE32-E72D297353CC}">
              <c16:uniqueId val="{00000006-E6D0-49F7-88FB-4AC55F85A376}"/>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[imitiaz_sales.xlsx]category wise sales!PivotTable3</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Category wise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a:gsLst>
              <a:gs pos="0">
                <a:schemeClr val="accent6">
                  <a:shade val="51000"/>
                </a:schemeClr>
              </a:gs>
              <a:gs pos="80000">
                <a:schemeClr val="accent6">
                  <a:shade val="93000"/>
                </a:schemeClr>
              </a:gs>
              <a:gs pos="100000">
                <a:schemeClr val="accent6">
                  <a:shade val="94000"/>
                </a:schemeClr>
              </a:gs>
            </a:gsLst>
            <a:lin ang="16200000" scaled="0"/>
            <a:tileRect/>
          </a:gradFill>
          <a:ln>
            <a:noFill/>
          </a:ln>
          <a:effectLst/>
        </c:spPr>
        <c:marker>
          <c:symbol val="circle"/>
          <c:size val="6"/>
          <c:spPr>
            <a:gradFill>
              <a:gsLst>
                <a:gs pos="0">
                  <a:schemeClr val="accent6">
                    <a:shade val="51000"/>
                  </a:schemeClr>
                </a:gs>
                <a:gs pos="80000">
                  <a:schemeClr val="accent6">
                    <a:shade val="93000"/>
                  </a:schemeClr>
                </a:gs>
                <a:gs pos="100000">
                  <a:schemeClr val="accent6">
                    <a:shade val="94000"/>
                  </a:schemeClr>
                </a:gs>
              </a:gsLst>
              <a:lin ang="16200000" scaled="0"/>
              <a:tileRect/>
            </a:gra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chemeClr val="accent6">
                  <a:shade val="51000"/>
                </a:schemeClr>
              </a:gs>
              <a:gs pos="80000">
                <a:schemeClr val="accent6">
                  <a:shade val="93000"/>
                </a:schemeClr>
              </a:gs>
              <a:gs pos="100000">
                <a:schemeClr val="accent6">
                  <a:shade val="94000"/>
                </a:schemeClr>
              </a:gs>
            </a:gsLst>
            <a:lin ang="162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6">
                  <a:shade val="51000"/>
                </a:schemeClr>
              </a:gs>
              <a:gs pos="80000">
                <a:schemeClr val="accent6">
                  <a:shade val="93000"/>
                </a:schemeClr>
              </a:gs>
              <a:gs pos="100000">
                <a:schemeClr val="accent6">
                  <a:shade val="94000"/>
                </a:schemeClr>
              </a:gs>
            </a:gsLst>
            <a:lin ang="162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'category wise sales'!$B$3</c:f>
              <c:strCache>
                <c:ptCount val="1"/>
                <c:pt idx="0">
                  <c:v>Total</c:v>
                </c:pt>
              </c:strCache>
            </c:strRef>
          </c:tx>
          <c:spPr>
            <a:gradFill>
              <a:gsLst>
                <a:gs pos="0">
                  <a:schemeClr val="accent6">
                    <a:shade val="51000"/>
                  </a:schemeClr>
                </a:gs>
                <a:gs pos="80000">
                  <a:schemeClr val="accent6">
                    <a:shade val="93000"/>
                  </a:schemeClr>
                </a:gs>
                <a:gs pos="100000">
                  <a:schemeClr val="accent6">
                    <a:shade val="94000"/>
                  </a:schemeClr>
                </a:gs>
              </a:gsLst>
              <a:lin ang="16200000" scaled="0"/>
              <a:tileRect/>
            </a:gradFill>
            <a:ln>
              <a:noFill/>
            </a:ln>
            <a:effectLst/>
          </c:spPr>
          <c:invertIfNegative val="0"/>
          <c:cat>
            <c:strRef>
              <c:f>'category wise sales'!$A$4:$A$12</c:f>
              <c:strCache>
                <c:ptCount val="8"/>
                <c:pt idx="0">
                  <c:v>Apparel</c:v>
                </c:pt>
                <c:pt idx="1">
                  <c:v>Bakery</c:v>
                </c:pt>
                <c:pt idx="2">
                  <c:v>Cosmetics</c:v>
                </c:pt>
                <c:pt idx="3">
                  <c:v>Electronics</c:v>
                </c:pt>
                <c:pt idx="4">
                  <c:v>Fresh Produce</c:v>
                </c:pt>
                <c:pt idx="5">
                  <c:v>Groceries</c:v>
                </c:pt>
                <c:pt idx="6">
                  <c:v>Household</c:v>
                </c:pt>
                <c:pt idx="7">
                  <c:v>Toys</c:v>
                </c:pt>
              </c:strCache>
            </c:strRef>
          </c:cat>
          <c:val>
            <c:numRef>
              <c:f>'category wise sales'!$B$4:$B$12</c:f>
              <c:numCache>
                <c:formatCode>"PKR "#,##0</c:formatCode>
                <c:ptCount val="8"/>
                <c:pt idx="0">
                  <c:v>465362.14999999997</c:v>
                </c:pt>
                <c:pt idx="1">
                  <c:v>430207.61</c:v>
                </c:pt>
                <c:pt idx="2">
                  <c:v>354838.98999999993</c:v>
                </c:pt>
                <c:pt idx="3">
                  <c:v>5583942.7000000002</c:v>
                </c:pt>
                <c:pt idx="4">
                  <c:v>353001.83</c:v>
                </c:pt>
                <c:pt idx="5">
                  <c:v>736502.70000000019</c:v>
                </c:pt>
                <c:pt idx="6">
                  <c:v>350286.68000000005</c:v>
                </c:pt>
                <c:pt idx="7">
                  <c:v>458064.23999999982</c:v>
                </c:pt>
              </c:numCache>
            </c:numRef>
          </c:val>
          <c:extLst>
            <c:ext xmlns:c16="http://schemas.microsoft.com/office/drawing/2014/chart" uri="{C3380CC4-5D6E-409C-BE32-E72D297353CC}">
              <c16:uniqueId val="{00000000-3E56-4E00-B2E4-FB84F608DE2F}"/>
            </c:ext>
          </c:extLst>
        </c:ser>
        <c:dLbls>
          <c:showLegendKey val="0"/>
          <c:showVal val="0"/>
          <c:showCatName val="0"/>
          <c:showSerName val="0"/>
          <c:showPercent val="0"/>
          <c:showBubbleSize val="0"/>
        </c:dLbls>
        <c:gapWidth val="150"/>
        <c:overlap val="100"/>
        <c:axId val="1723807568"/>
        <c:axId val="1723824368"/>
      </c:barChart>
      <c:catAx>
        <c:axId val="172380756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23824368"/>
        <c:crosses val="autoZero"/>
        <c:auto val="1"/>
        <c:lblAlgn val="ctr"/>
        <c:lblOffset val="100"/>
        <c:noMultiLvlLbl val="0"/>
      </c:catAx>
      <c:valAx>
        <c:axId val="1723824368"/>
        <c:scaling>
          <c:orientation val="minMax"/>
        </c:scaling>
        <c:delete val="0"/>
        <c:axPos val="b"/>
        <c:majorGridlines>
          <c:spPr>
            <a:ln w="9525" cap="flat" cmpd="sng" algn="ctr">
              <a:solidFill>
                <a:schemeClr val="lt1">
                  <a:lumMod val="95000"/>
                  <a:alpha val="10000"/>
                </a:schemeClr>
              </a:solidFill>
              <a:round/>
            </a:ln>
            <a:effectLst/>
          </c:spPr>
        </c:majorGridlines>
        <c:numFmt formatCode="&quot;PKR &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23807568"/>
        <c:crosses val="autoZero"/>
        <c:crossBetween val="between"/>
        <c:dispUnits>
          <c:builtInUnit val="thousands"/>
          <c:dispUnitsLbl>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[imitiaz_sales.xlsx]Branxh wise sales!PivotTable4</c:name>
    <c:fmtId val="6"/>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Branch wise sales</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4F81BD">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F81BD">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F81BD">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'Branxh wise sales'!$B$3</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F81BD">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'Branxh wise sales'!$A$4:$A$8</c:f>
              <c:strCache>
                <c:ptCount val="4"/>
                <c:pt idx="0">
                  <c:v>Hyderabad - Latifabad</c:v>
                </c:pt>
                <c:pt idx="1">
                  <c:v>Islamabad - F-7</c:v>
                </c:pt>
                <c:pt idx="2">
                  <c:v>Karachi - Tariq Road</c:v>
                </c:pt>
                <c:pt idx="3">
                  <c:v>Lahore - MM Alam</c:v>
                </c:pt>
              </c:strCache>
            </c:strRef>
          </c:cat>
          <c:val>
            <c:numRef>
              <c:f>'Branxh wise sales'!$B$4:$B$8</c:f>
              <c:numCache>
                <c:formatCode>"PKR "#,##0</c:formatCode>
                <c:ptCount val="4"/>
                <c:pt idx="0">
                  <c:v>2144047.2600000002</c:v>
                </c:pt>
                <c:pt idx="1">
                  <c:v>2144449.1799999997</c:v>
                </c:pt>
                <c:pt idx="2">
                  <c:v>1877322.4100000001</c:v>
                </c:pt>
                <c:pt idx="3">
                  <c:v>2566388.0499999998</c:v>
                </c:pt>
              </c:numCache>
            </c:numRef>
          </c:val>
          <c:extLst>
            <c:ext xmlns:c16="http://schemas.microsoft.com/office/drawing/2014/chart" uri="{C3380CC4-5D6E-409C-BE32-E72D297353CC}">
              <c16:uniqueId val="{00000000-9350-45E0-8474-CCC9E76FD6EA}"/>
            </c:ext>
          </c:extLst>
        </c:ser>
        <c:dLbls>
          <c:showLegendKey val="0"/>
          <c:showVal val="1"/>
          <c:showCatName val="0"/>
          <c:showSerName val="0"/>
          <c:showPercent val="0"/>
          <c:showBubbleSize val="0"/>
        </c:dLbls>
        <c:gapWidth val="84"/>
        <c:gapDepth val="53"/>
        <c:shape val="box"/>
        <c:axId val="1520058992"/>
        <c:axId val="1520029712"/>
        <c:axId val="0"/>
      </c:bar3DChart>
      <c:catAx>
        <c:axId val="15200589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20029712"/>
        <c:crosses val="autoZero"/>
        <c:auto val="1"/>
        <c:lblAlgn val="ctr"/>
        <c:lblOffset val="100"/>
        <c:noMultiLvlLbl val="0"/>
      </c:catAx>
      <c:valAx>
        <c:axId val="1520029712"/>
        <c:scaling>
          <c:orientation val="minMax"/>
        </c:scaling>
        <c:delete val="1"/>
        <c:axPos val="l"/>
        <c:numFmt formatCode="&quot;PKR &quot;#,##0" sourceLinked="1"/>
        <c:majorTickMark val="out"/>
        <c:minorTickMark val="none"/>
        <c:tickLblPos val="nextTo"/>
        <c:crossAx val="1520058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[imitiaz_sales.xlsx]Top 10 product sales!PivotTable5</c:name>
    <c:fmtId val="3"/>
  </c:pivotSource>
  <c:chart>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product sales'!$B$3</c:f>
              <c:strCache>
                <c:ptCount val="1"/>
                <c:pt idx="0">
                  <c:v>Sum of Quantity</c:v>
                </c:pt>
              </c:strCache>
            </c:strRef>
          </c:tx>
          <c:spPr>
            <a:solidFill>
              <a:schemeClr val="accent1"/>
            </a:solidFill>
            <a:ln>
              <a:noFill/>
            </a:ln>
            <a:effectLst/>
          </c:spPr>
          <c:invertIfNegative val="0"/>
          <c:cat>
            <c:strRef>
              <c:f>'Top 10 product sales'!$A$4:$A$14</c:f>
              <c:strCache>
                <c:ptCount val="10"/>
                <c:pt idx="0">
                  <c:v>Sandwich Maker</c:v>
                </c:pt>
                <c:pt idx="1">
                  <c:v>Phablet 128GB</c:v>
                </c:pt>
                <c:pt idx="2">
                  <c:v>Microwave Oven</c:v>
                </c:pt>
                <c:pt idx="3">
                  <c:v>USB Cable Type-C</c:v>
                </c:pt>
                <c:pt idx="4">
                  <c:v>Bluetooth Speaker</c:v>
                </c:pt>
                <c:pt idx="5">
                  <c:v>Sound Bar</c:v>
                </c:pt>
                <c:pt idx="6">
                  <c:v>Phone Case Set</c:v>
                </c:pt>
                <c:pt idx="7">
                  <c:v>Smartphone 64GB</c:v>
                </c:pt>
                <c:pt idx="8">
                  <c:v>Wireless Earbuds</c:v>
                </c:pt>
                <c:pt idx="9">
                  <c:v>Air Fryer</c:v>
                </c:pt>
              </c:strCache>
            </c:strRef>
          </c:cat>
          <c:val>
            <c:numRef>
              <c:f>'Top 10 product sales'!$B$4:$B$14</c:f>
              <c:numCache>
                <c:formatCode>#,##0</c:formatCode>
                <c:ptCount val="10"/>
                <c:pt idx="0">
                  <c:v>11</c:v>
                </c:pt>
                <c:pt idx="1">
                  <c:v>9</c:v>
                </c:pt>
                <c:pt idx="2">
                  <c:v>15</c:v>
                </c:pt>
                <c:pt idx="3">
                  <c:v>12</c:v>
                </c:pt>
                <c:pt idx="4">
                  <c:v>10</c:v>
                </c:pt>
                <c:pt idx="5">
                  <c:v>12</c:v>
                </c:pt>
                <c:pt idx="6">
                  <c:v>11</c:v>
                </c:pt>
                <c:pt idx="7">
                  <c:v>12</c:v>
                </c:pt>
                <c:pt idx="8">
                  <c:v>11</c:v>
                </c:pt>
                <c:pt idx="9">
                  <c:v>7</c:v>
                </c:pt>
              </c:numCache>
            </c:numRef>
          </c:val>
          <c:extLst>
            <c:ext xmlns:c16="http://schemas.microsoft.com/office/drawing/2014/chart" uri="{C3380CC4-5D6E-409C-BE32-E72D297353CC}">
              <c16:uniqueId val="{00000000-554F-44D7-9F01-4AC1C1B01148}"/>
            </c:ext>
          </c:extLst>
        </c:ser>
        <c:dLbls>
          <c:showLegendKey val="0"/>
          <c:showVal val="0"/>
          <c:showCatName val="0"/>
          <c:showSerName val="0"/>
          <c:showPercent val="0"/>
          <c:showBubbleSize val="0"/>
        </c:dLbls>
        <c:gapWidth val="219"/>
        <c:axId val="1812060016"/>
        <c:axId val="1812058096"/>
      </c:barChart>
      <c:lineChart>
        <c:grouping val="standard"/>
        <c:varyColors val="0"/>
        <c:ser>
          <c:idx val="1"/>
          <c:order val="1"/>
          <c:tx>
            <c:strRef>
              <c:f>'Top 10 product sales'!$C$3</c:f>
              <c:strCache>
                <c:ptCount val="1"/>
                <c:pt idx="0">
                  <c:v>Sum of Net Sales (PKR)</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'Top 10 product sales'!$A$4:$A$14</c:f>
              <c:strCache>
                <c:ptCount val="10"/>
                <c:pt idx="0">
                  <c:v>Sandwich Maker</c:v>
                </c:pt>
                <c:pt idx="1">
                  <c:v>Phablet 128GB</c:v>
                </c:pt>
                <c:pt idx="2">
                  <c:v>Microwave Oven</c:v>
                </c:pt>
                <c:pt idx="3">
                  <c:v>USB Cable Type-C</c:v>
                </c:pt>
                <c:pt idx="4">
                  <c:v>Bluetooth Speaker</c:v>
                </c:pt>
                <c:pt idx="5">
                  <c:v>Sound Bar</c:v>
                </c:pt>
                <c:pt idx="6">
                  <c:v>Phone Case Set</c:v>
                </c:pt>
                <c:pt idx="7">
                  <c:v>Smartphone 64GB</c:v>
                </c:pt>
                <c:pt idx="8">
                  <c:v>Wireless Earbuds</c:v>
                </c:pt>
                <c:pt idx="9">
                  <c:v>Air Fryer</c:v>
                </c:pt>
              </c:strCache>
            </c:strRef>
          </c:cat>
          <c:val>
            <c:numRef>
              <c:f>'Top 10 product sales'!$C$4:$C$14</c:f>
              <c:numCache>
                <c:formatCode>"PKR "#,##0</c:formatCode>
                <c:ptCount val="10"/>
                <c:pt idx="0">
                  <c:v>496933.5</c:v>
                </c:pt>
                <c:pt idx="1">
                  <c:v>485919</c:v>
                </c:pt>
                <c:pt idx="2">
                  <c:v>473616.7</c:v>
                </c:pt>
                <c:pt idx="3">
                  <c:v>446468.95</c:v>
                </c:pt>
                <c:pt idx="4">
                  <c:v>444456</c:v>
                </c:pt>
                <c:pt idx="5">
                  <c:v>433382.5</c:v>
                </c:pt>
                <c:pt idx="6">
                  <c:v>404404</c:v>
                </c:pt>
                <c:pt idx="7">
                  <c:v>341124.55</c:v>
                </c:pt>
                <c:pt idx="8">
                  <c:v>333468</c:v>
                </c:pt>
                <c:pt idx="9">
                  <c:v>304500</c:v>
                </c:pt>
              </c:numCache>
            </c:numRef>
          </c:val>
          <c:smooth val="0"/>
          <c:extLst>
            <c:ext xmlns:c16="http://schemas.microsoft.com/office/drawing/2014/chart" uri="{C3380CC4-5D6E-409C-BE32-E72D297353CC}">
              <c16:uniqueId val="{00000001-554F-44D7-9F01-4AC1C1B01148}"/>
            </c:ext>
          </c:extLst>
        </c:ser>
        <c:dLbls>
          <c:showLegendKey val="0"/>
          <c:showVal val="0"/>
          <c:showCatName val="0"/>
          <c:showSerName val="0"/>
          <c:showPercent val="0"/>
          <c:showBubbleSize val="0"/>
        </c:dLbls>
        <c:marker val="1"/>
        <c:smooth val="0"/>
        <c:axId val="1812055696"/>
        <c:axId val="1812056176"/>
      </c:lineChart>
      <c:catAx>
        <c:axId val="1812055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056176"/>
        <c:crosses val="autoZero"/>
        <c:auto val="1"/>
        <c:lblAlgn val="ctr"/>
        <c:lblOffset val="100"/>
        <c:noMultiLvlLbl val="0"/>
      </c:catAx>
      <c:valAx>
        <c:axId val="1812056176"/>
        <c:scaling>
          <c:orientation val="minMax"/>
        </c:scaling>
        <c:delete val="0"/>
        <c:axPos val="l"/>
        <c:majorGridlines>
          <c:spPr>
            <a:ln w="9525" cap="flat" cmpd="sng" algn="ctr">
              <a:solidFill>
                <a:schemeClr val="tx1">
                  <a:lumMod val="15000"/>
                  <a:lumOff val="85000"/>
                </a:schemeClr>
              </a:solidFill>
              <a:round/>
            </a:ln>
            <a:effectLst/>
          </c:spPr>
        </c:majorGridlines>
        <c:numFmt formatCode="&quot;PKR &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055696"/>
        <c:crosses val="autoZero"/>
        <c:crossBetween val="between"/>
      </c:valAx>
      <c:valAx>
        <c:axId val="1812058096"/>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060016"/>
        <c:crosses val="max"/>
        <c:crossBetween val="between"/>
      </c:valAx>
      <c:catAx>
        <c:axId val="1812060016"/>
        <c:scaling>
          <c:orientation val="minMax"/>
        </c:scaling>
        <c:delete val="1"/>
        <c:axPos val="b"/>
        <c:numFmt formatCode="General" sourceLinked="1"/>
        <c:majorTickMark val="out"/>
        <c:minorTickMark val="none"/>
        <c:tickLblPos val="nextTo"/>
        <c:crossAx val="181205809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330200</xdr:colOff>
      <xdr:row>0</xdr:row>
      <xdr:rowOff>165100</xdr:rowOff>
    </xdr:from>
    <xdr:to>
      <xdr:col>12</xdr:col>
      <xdr:colOff>25400</xdr:colOff>
      <xdr:row>16</xdr:row>
      <xdr:rowOff>152400</xdr:rowOff>
    </xdr:to>
    <xdr:graphicFrame macro="">
      <xdr:nvGraphicFramePr>
        <xdr:cNvPr id="2" name="Chart 1">
          <a:extLst>
            <a:ext uri="{FF2B5EF4-FFF2-40B4-BE49-F238E27FC236}">
              <a16:creationId xmlns:a16="http://schemas.microsoft.com/office/drawing/2014/main" id="{2258C92D-730E-81FE-39F3-033E57E606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19050</xdr:colOff>
      <xdr:row>1</xdr:row>
      <xdr:rowOff>25400</xdr:rowOff>
    </xdr:from>
    <xdr:to>
      <xdr:col>10</xdr:col>
      <xdr:colOff>323850</xdr:colOff>
      <xdr:row>16</xdr:row>
      <xdr:rowOff>6350</xdr:rowOff>
    </xdr:to>
    <xdr:graphicFrame macro="">
      <xdr:nvGraphicFramePr>
        <xdr:cNvPr id="4" name="Chart 3">
          <a:extLst>
            <a:ext uri="{FF2B5EF4-FFF2-40B4-BE49-F238E27FC236}">
              <a16:creationId xmlns:a16="http://schemas.microsoft.com/office/drawing/2014/main" id="{A102718A-FE0B-548E-3FF2-C2E90EC6B3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288925</xdr:colOff>
      <xdr:row>1</xdr:row>
      <xdr:rowOff>152400</xdr:rowOff>
    </xdr:from>
    <xdr:to>
      <xdr:col>10</xdr:col>
      <xdr:colOff>593725</xdr:colOff>
      <xdr:row>16</xdr:row>
      <xdr:rowOff>133350</xdr:rowOff>
    </xdr:to>
    <xdr:graphicFrame macro="">
      <xdr:nvGraphicFramePr>
        <xdr:cNvPr id="3" name="Chart 2">
          <a:extLst>
            <a:ext uri="{FF2B5EF4-FFF2-40B4-BE49-F238E27FC236}">
              <a16:creationId xmlns:a16="http://schemas.microsoft.com/office/drawing/2014/main" id="{360CEF93-8BA9-672D-867A-CF39ACC83C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165100</xdr:colOff>
      <xdr:row>0</xdr:row>
      <xdr:rowOff>44450</xdr:rowOff>
    </xdr:from>
    <xdr:to>
      <xdr:col>10</xdr:col>
      <xdr:colOff>469900</xdr:colOff>
      <xdr:row>16</xdr:row>
      <xdr:rowOff>50800</xdr:rowOff>
    </xdr:to>
    <xdr:graphicFrame macro="">
      <xdr:nvGraphicFramePr>
        <xdr:cNvPr id="2" name="Chart 1">
          <a:extLst>
            <a:ext uri="{FF2B5EF4-FFF2-40B4-BE49-F238E27FC236}">
              <a16:creationId xmlns:a16="http://schemas.microsoft.com/office/drawing/2014/main" id="{C6B1FF03-0261-68F9-AA3A-720FFC87B7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88196</xdr:colOff>
      <xdr:row>1</xdr:row>
      <xdr:rowOff>0</xdr:rowOff>
    </xdr:from>
    <xdr:to>
      <xdr:col>9</xdr:col>
      <xdr:colOff>324557</xdr:colOff>
      <xdr:row>18</xdr:row>
      <xdr:rowOff>30990</xdr:rowOff>
    </xdr:to>
    <xdr:graphicFrame macro="">
      <xdr:nvGraphicFramePr>
        <xdr:cNvPr id="2" name="Chart 1">
          <a:extLst>
            <a:ext uri="{FF2B5EF4-FFF2-40B4-BE49-F238E27FC236}">
              <a16:creationId xmlns:a16="http://schemas.microsoft.com/office/drawing/2014/main" id="{52FA567A-BD36-402B-AC96-C303A454DC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242928</xdr:colOff>
      <xdr:row>1</xdr:row>
      <xdr:rowOff>36364</xdr:rowOff>
    </xdr:from>
    <xdr:to>
      <xdr:col>21</xdr:col>
      <xdr:colOff>415193</xdr:colOff>
      <xdr:row>17</xdr:row>
      <xdr:rowOff>43690</xdr:rowOff>
    </xdr:to>
    <xdr:graphicFrame macro="">
      <xdr:nvGraphicFramePr>
        <xdr:cNvPr id="3" name="Chart 2">
          <a:extLst>
            <a:ext uri="{FF2B5EF4-FFF2-40B4-BE49-F238E27FC236}">
              <a16:creationId xmlns:a16="http://schemas.microsoft.com/office/drawing/2014/main" id="{7D56FE06-509E-4A87-BEE3-492FF555C9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252371</xdr:colOff>
      <xdr:row>19</xdr:row>
      <xdr:rowOff>28221</xdr:rowOff>
    </xdr:from>
    <xdr:to>
      <xdr:col>10</xdr:col>
      <xdr:colOff>125914</xdr:colOff>
      <xdr:row>38</xdr:row>
      <xdr:rowOff>107066</xdr:rowOff>
    </xdr:to>
    <xdr:graphicFrame macro="">
      <xdr:nvGraphicFramePr>
        <xdr:cNvPr id="4" name="Chart 3">
          <a:extLst>
            <a:ext uri="{FF2B5EF4-FFF2-40B4-BE49-F238E27FC236}">
              <a16:creationId xmlns:a16="http://schemas.microsoft.com/office/drawing/2014/main" id="{50D0D4E1-411B-4370-B2B5-08F2282FED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219808</xdr:colOff>
      <xdr:row>20</xdr:row>
      <xdr:rowOff>7597</xdr:rowOff>
    </xdr:from>
    <xdr:to>
      <xdr:col>21</xdr:col>
      <xdr:colOff>350065</xdr:colOff>
      <xdr:row>39</xdr:row>
      <xdr:rowOff>109633</xdr:rowOff>
    </xdr:to>
    <xdr:graphicFrame macro="">
      <xdr:nvGraphicFramePr>
        <xdr:cNvPr id="5" name="Chart 4">
          <a:extLst>
            <a:ext uri="{FF2B5EF4-FFF2-40B4-BE49-F238E27FC236}">
              <a16:creationId xmlns:a16="http://schemas.microsoft.com/office/drawing/2014/main" id="{3EE0E29A-5128-46A0-9767-7A221309BA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182365</xdr:colOff>
      <xdr:row>18</xdr:row>
      <xdr:rowOff>56445</xdr:rowOff>
    </xdr:from>
    <xdr:to>
      <xdr:col>31</xdr:col>
      <xdr:colOff>98776</xdr:colOff>
      <xdr:row>26</xdr:row>
      <xdr:rowOff>14110</xdr:rowOff>
    </xdr:to>
    <xdr:sp macro="" textlink="Sheet9!D6">
      <xdr:nvSpPr>
        <xdr:cNvPr id="6" name="Rectangle: Rounded Corners 5">
          <a:extLst>
            <a:ext uri="{FF2B5EF4-FFF2-40B4-BE49-F238E27FC236}">
              <a16:creationId xmlns:a16="http://schemas.microsoft.com/office/drawing/2014/main" id="{F61084B1-2D57-4C54-F0A1-B9DA8FF42948}"/>
            </a:ext>
          </a:extLst>
        </xdr:cNvPr>
        <xdr:cNvSpPr/>
      </xdr:nvSpPr>
      <xdr:spPr>
        <a:xfrm>
          <a:off x="14138254" y="3358445"/>
          <a:ext cx="4770633" cy="1425221"/>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19168F45-3813-4CF4-8498-7BB2CBFAB09A}" type="TxLink">
            <a:rPr lang="en-US" sz="4800" b="0" i="0" u="none" strike="noStrike">
              <a:solidFill>
                <a:schemeClr val="bg1"/>
              </a:solidFill>
              <a:latin typeface="Calibri"/>
              <a:ea typeface="Calibri"/>
              <a:cs typeface="Calibri"/>
            </a:rPr>
            <a:pPr marL="0" indent="0" algn="ctr"/>
            <a:t>PKR 8,732,207</a:t>
          </a:fld>
          <a:endParaRPr lang="en-US" sz="4800" b="0" i="0" u="none" strike="noStrike">
            <a:solidFill>
              <a:schemeClr val="bg1"/>
            </a:solidFill>
            <a:latin typeface="Calibri"/>
            <a:ea typeface="Calibri"/>
            <a:cs typeface="Calibri"/>
          </a:endParaRPr>
        </a:p>
      </xdr:txBody>
    </xdr:sp>
    <xdr:clientData/>
  </xdr:twoCellAnchor>
  <xdr:twoCellAnchor>
    <xdr:from>
      <xdr:col>23</xdr:col>
      <xdr:colOff>177219</xdr:colOff>
      <xdr:row>33</xdr:row>
      <xdr:rowOff>24902</xdr:rowOff>
    </xdr:from>
    <xdr:to>
      <xdr:col>31</xdr:col>
      <xdr:colOff>183445</xdr:colOff>
      <xdr:row>40</xdr:row>
      <xdr:rowOff>42334</xdr:rowOff>
    </xdr:to>
    <xdr:sp macro="" textlink="Sheet9!D5">
      <xdr:nvSpPr>
        <xdr:cNvPr id="7" name="Rectangle: Rounded Corners 6">
          <a:extLst>
            <a:ext uri="{FF2B5EF4-FFF2-40B4-BE49-F238E27FC236}">
              <a16:creationId xmlns:a16="http://schemas.microsoft.com/office/drawing/2014/main" id="{863F67B2-52E9-4738-B1EE-404D649AA595}"/>
            </a:ext>
          </a:extLst>
        </xdr:cNvPr>
        <xdr:cNvSpPr/>
      </xdr:nvSpPr>
      <xdr:spPr>
        <a:xfrm>
          <a:off x="14133108" y="6078569"/>
          <a:ext cx="4860448" cy="1301543"/>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7DE9EDA-0FAF-44E7-9650-D2A893F53837}" type="TxLink">
            <a:rPr lang="en-US" sz="4800" b="0" i="0" u="none" strike="noStrike">
              <a:solidFill>
                <a:schemeClr val="bg1"/>
              </a:solidFill>
              <a:latin typeface="Calibri"/>
              <a:ea typeface="Calibri"/>
              <a:cs typeface="Calibri"/>
            </a:rPr>
            <a:pPr algn="ctr"/>
            <a:t>PKR 310,993</a:t>
          </a:fld>
          <a:endParaRPr lang="en-US" sz="4800">
            <a:solidFill>
              <a:schemeClr val="bg1"/>
            </a:solidFill>
          </a:endParaRPr>
        </a:p>
      </xdr:txBody>
    </xdr:sp>
    <xdr:clientData/>
  </xdr:twoCellAnchor>
  <xdr:twoCellAnchor>
    <xdr:from>
      <xdr:col>23</xdr:col>
      <xdr:colOff>169334</xdr:colOff>
      <xdr:row>4</xdr:row>
      <xdr:rowOff>101266</xdr:rowOff>
    </xdr:from>
    <xdr:to>
      <xdr:col>31</xdr:col>
      <xdr:colOff>155223</xdr:colOff>
      <xdr:row>11</xdr:row>
      <xdr:rowOff>169334</xdr:rowOff>
    </xdr:to>
    <xdr:sp macro="" textlink="Sheet9!D7">
      <xdr:nvSpPr>
        <xdr:cNvPr id="8" name="Rectangle: Rounded Corners 7">
          <a:extLst>
            <a:ext uri="{FF2B5EF4-FFF2-40B4-BE49-F238E27FC236}">
              <a16:creationId xmlns:a16="http://schemas.microsoft.com/office/drawing/2014/main" id="{80FDE909-8736-4027-9279-3EF11927AEC3}"/>
            </a:ext>
          </a:extLst>
        </xdr:cNvPr>
        <xdr:cNvSpPr/>
      </xdr:nvSpPr>
      <xdr:spPr>
        <a:xfrm>
          <a:off x="14125223" y="835044"/>
          <a:ext cx="4840111" cy="1352179"/>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E5B18FBE-A529-43E0-B2AE-4DC1579AD5BF}" type="TxLink">
            <a:rPr lang="en-US" sz="4800" b="0" i="0" u="none" strike="noStrike">
              <a:solidFill>
                <a:schemeClr val="bg1"/>
              </a:solidFill>
              <a:latin typeface="Calibri"/>
              <a:ea typeface="Calibri"/>
              <a:cs typeface="Calibri"/>
            </a:rPr>
            <a:pPr marL="0" indent="0" algn="ctr"/>
            <a:t>1000</a:t>
          </a:fld>
          <a:endParaRPr lang="en-US" sz="4800" b="0" i="0" u="none" strike="noStrike">
            <a:solidFill>
              <a:schemeClr val="bg1"/>
            </a:solidFill>
            <a:latin typeface="Calibri"/>
            <a:ea typeface="Calibri"/>
            <a:cs typeface="Calibri"/>
          </a:endParaRPr>
        </a:p>
      </xdr:txBody>
    </xdr:sp>
    <xdr:clientData/>
  </xdr:twoCellAnchor>
  <xdr:twoCellAnchor>
    <xdr:from>
      <xdr:col>23</xdr:col>
      <xdr:colOff>155223</xdr:colOff>
      <xdr:row>0</xdr:row>
      <xdr:rowOff>98779</xdr:rowOff>
    </xdr:from>
    <xdr:to>
      <xdr:col>31</xdr:col>
      <xdr:colOff>141112</xdr:colOff>
      <xdr:row>4</xdr:row>
      <xdr:rowOff>1</xdr:rowOff>
    </xdr:to>
    <xdr:sp macro="" textlink="Sheet9!D7">
      <xdr:nvSpPr>
        <xdr:cNvPr id="10" name="Rectangle: Rounded Corners 9">
          <a:extLst>
            <a:ext uri="{FF2B5EF4-FFF2-40B4-BE49-F238E27FC236}">
              <a16:creationId xmlns:a16="http://schemas.microsoft.com/office/drawing/2014/main" id="{0437055C-5771-C329-CCD9-CA4040F4CC80}"/>
            </a:ext>
          </a:extLst>
        </xdr:cNvPr>
        <xdr:cNvSpPr/>
      </xdr:nvSpPr>
      <xdr:spPr>
        <a:xfrm>
          <a:off x="14111112" y="98779"/>
          <a:ext cx="4840111" cy="635000"/>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3200" b="0" i="0" u="none" strike="noStrike">
              <a:solidFill>
                <a:schemeClr val="bg1"/>
              </a:solidFill>
              <a:latin typeface="Calibri"/>
              <a:ea typeface="Calibri"/>
              <a:cs typeface="Calibri"/>
            </a:rPr>
            <a:t>Total</a:t>
          </a:r>
          <a:r>
            <a:rPr lang="en-US" sz="3200" b="0" i="0" u="none" strike="noStrike" baseline="0">
              <a:solidFill>
                <a:schemeClr val="bg1"/>
              </a:solidFill>
              <a:latin typeface="Calibri"/>
              <a:ea typeface="Calibri"/>
              <a:cs typeface="Calibri"/>
            </a:rPr>
            <a:t> Number of sales</a:t>
          </a:r>
          <a:endParaRPr lang="en-US" sz="3200" b="0" i="0" u="none" strike="noStrike">
            <a:solidFill>
              <a:schemeClr val="bg1"/>
            </a:solidFill>
            <a:latin typeface="Calibri"/>
            <a:ea typeface="Calibri"/>
            <a:cs typeface="Calibri"/>
          </a:endParaRPr>
        </a:p>
      </xdr:txBody>
    </xdr:sp>
    <xdr:clientData/>
  </xdr:twoCellAnchor>
  <xdr:twoCellAnchor editAs="oneCell">
    <xdr:from>
      <xdr:col>32</xdr:col>
      <xdr:colOff>225072</xdr:colOff>
      <xdr:row>1</xdr:row>
      <xdr:rowOff>83256</xdr:rowOff>
    </xdr:from>
    <xdr:to>
      <xdr:col>35</xdr:col>
      <xdr:colOff>233539</xdr:colOff>
      <xdr:row>15</xdr:row>
      <xdr:rowOff>39158</xdr:rowOff>
    </xdr:to>
    <mc:AlternateContent xmlns:mc="http://schemas.openxmlformats.org/markup-compatibility/2006">
      <mc:Choice xmlns:a14="http://schemas.microsoft.com/office/drawing/2010/main" Requires="a14">
        <xdr:graphicFrame macro="">
          <xdr:nvGraphicFramePr>
            <xdr:cNvPr id="11" name="Year">
              <a:extLst>
                <a:ext uri="{FF2B5EF4-FFF2-40B4-BE49-F238E27FC236}">
                  <a16:creationId xmlns:a16="http://schemas.microsoft.com/office/drawing/2014/main" id="{3E92C255-7002-6C47-99C5-37741C8DD00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9641961" y="2667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155222</xdr:colOff>
      <xdr:row>13</xdr:row>
      <xdr:rowOff>126999</xdr:rowOff>
    </xdr:from>
    <xdr:to>
      <xdr:col>31</xdr:col>
      <xdr:colOff>141111</xdr:colOff>
      <xdr:row>17</xdr:row>
      <xdr:rowOff>28221</xdr:rowOff>
    </xdr:to>
    <xdr:sp macro="" textlink="Sheet9!D7">
      <xdr:nvSpPr>
        <xdr:cNvPr id="12" name="Rectangle: Rounded Corners 11">
          <a:extLst>
            <a:ext uri="{FF2B5EF4-FFF2-40B4-BE49-F238E27FC236}">
              <a16:creationId xmlns:a16="http://schemas.microsoft.com/office/drawing/2014/main" id="{23723760-BBEB-4655-90E6-F296C7DD9801}"/>
            </a:ext>
          </a:extLst>
        </xdr:cNvPr>
        <xdr:cNvSpPr/>
      </xdr:nvSpPr>
      <xdr:spPr>
        <a:xfrm>
          <a:off x="14111111" y="2511777"/>
          <a:ext cx="4840111" cy="635000"/>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3200" b="0" i="0" u="none" strike="noStrike">
              <a:solidFill>
                <a:schemeClr val="bg1"/>
              </a:solidFill>
              <a:latin typeface="Calibri"/>
              <a:ea typeface="Calibri"/>
              <a:cs typeface="Calibri"/>
            </a:rPr>
            <a:t>Total</a:t>
          </a:r>
          <a:r>
            <a:rPr lang="en-US" sz="3200" b="0" i="0" u="none" strike="noStrike" baseline="0">
              <a:solidFill>
                <a:schemeClr val="bg1"/>
              </a:solidFill>
              <a:latin typeface="Calibri"/>
              <a:ea typeface="Calibri"/>
              <a:cs typeface="Calibri"/>
            </a:rPr>
            <a:t>  sales</a:t>
          </a:r>
          <a:endParaRPr lang="en-US" sz="3200" b="0" i="0" u="none" strike="noStrike">
            <a:solidFill>
              <a:schemeClr val="bg1"/>
            </a:solidFill>
            <a:latin typeface="Calibri"/>
            <a:ea typeface="Calibri"/>
            <a:cs typeface="Calibri"/>
          </a:endParaRPr>
        </a:p>
      </xdr:txBody>
    </xdr:sp>
    <xdr:clientData/>
  </xdr:twoCellAnchor>
  <xdr:twoCellAnchor>
    <xdr:from>
      <xdr:col>23</xdr:col>
      <xdr:colOff>152399</xdr:colOff>
      <xdr:row>28</xdr:row>
      <xdr:rowOff>25400</xdr:rowOff>
    </xdr:from>
    <xdr:to>
      <xdr:col>31</xdr:col>
      <xdr:colOff>138288</xdr:colOff>
      <xdr:row>31</xdr:row>
      <xdr:rowOff>110066</xdr:rowOff>
    </xdr:to>
    <xdr:sp macro="" textlink="Sheet9!D7">
      <xdr:nvSpPr>
        <xdr:cNvPr id="13" name="Rectangle: Rounded Corners 12">
          <a:extLst>
            <a:ext uri="{FF2B5EF4-FFF2-40B4-BE49-F238E27FC236}">
              <a16:creationId xmlns:a16="http://schemas.microsoft.com/office/drawing/2014/main" id="{EE537DD9-A28E-4CA9-9335-259764D58669}"/>
            </a:ext>
          </a:extLst>
        </xdr:cNvPr>
        <xdr:cNvSpPr/>
      </xdr:nvSpPr>
      <xdr:spPr>
        <a:xfrm>
          <a:off x="14108288" y="5161844"/>
          <a:ext cx="4840111" cy="635000"/>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3200" b="0" i="0" u="none" strike="noStrike">
              <a:solidFill>
                <a:schemeClr val="bg1"/>
              </a:solidFill>
              <a:latin typeface="Calibri"/>
              <a:ea typeface="Calibri"/>
              <a:cs typeface="Calibri"/>
            </a:rPr>
            <a:t>Total</a:t>
          </a:r>
          <a:r>
            <a:rPr lang="en-US" sz="3200" b="0" i="0" u="none" strike="noStrike" baseline="0">
              <a:solidFill>
                <a:schemeClr val="bg1"/>
              </a:solidFill>
              <a:latin typeface="Calibri"/>
              <a:ea typeface="Calibri"/>
              <a:cs typeface="Calibri"/>
            </a:rPr>
            <a:t>  Discount</a:t>
          </a:r>
          <a:endParaRPr lang="en-US" sz="3200" b="0" i="0" u="none" strike="noStrike">
            <a:solidFill>
              <a:schemeClr val="bg1"/>
            </a:solidFill>
            <a:latin typeface="Calibri"/>
            <a:ea typeface="Calibri"/>
            <a:cs typeface="Calibri"/>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G" refreshedDate="46316.631729050925" createdVersion="8" refreshedVersion="8" minRefreshableVersion="3" recordCount="1000" xr:uid="{2FC9051C-3284-4EB7-A2A9-2681F884D65E}">
  <cacheSource type="worksheet">
    <worksheetSource ref="A1:O1001" sheet="data"/>
  </cacheSource>
  <cacheFields count="15">
    <cacheField name="Transaction ID" numFmtId="0">
      <sharedItems/>
    </cacheField>
    <cacheField name="Date" numFmtId="164">
      <sharedItems containsSemiMixedTypes="0" containsNonDate="0" containsDate="1" containsString="0" minDate="2023-01-02T00:00:00" maxDate="2026-01-01T00:00:00"/>
    </cacheField>
    <cacheField name="Year" numFmtId="1">
      <sharedItems containsSemiMixedTypes="0" containsString="0" containsNumber="1" containsInteger="1" minValue="2023" maxValue="2025" count="3">
        <n v="2023"/>
        <n v="2025"/>
        <n v="2024"/>
      </sharedItems>
    </cacheField>
    <cacheField name="Month" numFmtId="0">
      <sharedItems/>
    </cacheField>
    <cacheField name="Branch" numFmtId="0">
      <sharedItems count="4">
        <s v="Hyderabad - Latifabad"/>
        <s v="Karachi - Tariq Road"/>
        <s v="Lahore - MM Alam"/>
        <s v="Islamabad - F-7"/>
      </sharedItems>
    </cacheField>
    <cacheField name="City" numFmtId="0">
      <sharedItems/>
    </cacheField>
    <cacheField name="Category" numFmtId="0">
      <sharedItems count="8">
        <s v="Groceries"/>
        <s v="Electronics"/>
        <s v="Fresh Produce"/>
        <s v="Household"/>
        <s v="Bakery"/>
        <s v="Cosmetics"/>
        <s v="Apparel"/>
        <s v="Toys"/>
      </sharedItems>
    </cacheField>
    <cacheField name="Subcategory" numFmtId="0">
      <sharedItems/>
    </cacheField>
    <cacheField name="Product Name" numFmtId="0">
      <sharedItems count="138">
        <s v="Coffee Jar 200g"/>
        <s v="Smartphone 64GB"/>
        <s v="Onions 1kg"/>
        <s v="Liquid Detergent 2L"/>
        <s v="Marie Biscuits Family Pack"/>
        <s v="Cutlery Set (12pc)"/>
        <s v="Night Cream 30ml"/>
        <s v="Stitched Trouser"/>
        <s v="Bread Sticks"/>
        <s v="Teddy Bear Medium"/>
        <s v="Tomato Ketchup 1L"/>
        <s v="Soft Toy (Big)"/>
        <s v="T-Shirt (Pack of 2)"/>
        <s v="Stainless Steel Pot"/>
        <s v="Fresh Milk 1L"/>
        <s v="Beef Boneless 1kg"/>
        <s v="Abaya"/>
        <s v="Detergent Powder 3kg"/>
        <s v="Curtains Pair"/>
        <s v="Number Flash Cards"/>
        <s v="Monopoly Set"/>
        <s v="Microwave Oven"/>
        <s v="Floor Cleaner 1L"/>
        <s v="Sella Rice 10kg"/>
        <s v="Wireless Earbuds"/>
        <s v="Phone Charger"/>
        <s v="Chana Dal 1kg"/>
        <s v="Cola 2.25L"/>
        <s v="Grapes 500g"/>
        <s v="Soldier Set"/>
        <s v="Kids Frock"/>
        <s v="Ludo Family Set"/>
        <s v="Hair Oil 200ml"/>
        <s v="Moong Dal 1kg"/>
        <s v="Coriander Powder 200g"/>
        <s v="Casual Shirt"/>
        <s v="Broken Rice 2kg"/>
        <s v="Yogurt 1kg"/>
        <s v="Embroidered Kurti"/>
        <s v="Pillow Pair"/>
        <s v="Masoor Dal 1kg"/>
        <s v="Kids Jeans"/>
        <s v="Phone Case Set"/>
        <s v="Glass Set (6pc)"/>
        <s v="Kids T-Shirt"/>
        <s v="Alphabet Block Set"/>
        <s v="Eggs (Tray of 30)"/>
        <s v="Lawn Suit (3pc)"/>
        <s v="Patties Pack (6pc)"/>
        <s v="Butter 200g"/>
        <s v="Denim Jeans"/>
        <s v="Cheese 200g"/>
        <s v="Bananas 1 dozen"/>
        <s v="Coconut Biscuits"/>
        <s v="Foundation 30ml"/>
        <s v="Tablet 10-inch"/>
        <s v="Carrots 500g"/>
        <s v="School Shoes (Kids)"/>
        <s v="Stuffed Animal Set"/>
        <s v="Kajal Pencil"/>
        <s v="Mixed Beans 500g"/>
        <s v="Puzzle (100pc)"/>
        <s v="Sound Bar"/>
        <s v="Digestive Biscuits"/>
        <s v="Wheat Flour 5kg"/>
        <s v="Cupcake Pack (6pc)"/>
        <s v="Juicer Blender"/>
        <s v="Bun Pack (6pc)"/>
        <s v="Sandwich Maker"/>
        <s v="Phablet 128GB"/>
        <s v="Chocolate Cake 500g"/>
        <s v="Basmati Rice 5kg"/>
        <s v="Shampoo 400ml"/>
        <s v="Noodles Family Pack"/>
        <s v="Mineral Water 1.5L"/>
        <s v="Dinosaur Set"/>
        <s v="Potatoes 1kg"/>
        <s v="Oranges 1kg"/>
        <s v="Mangoes 1kg"/>
        <s v="Sunscreen SPF 50"/>
        <s v="Mustard Oil 1L"/>
        <s v="Spinach 500g"/>
        <s v="Red Chilli Powder 200g"/>
        <s v="Garam Masala 100g"/>
        <s v="Body Mist 200ml"/>
        <s v="Surface Cleaner 750ml"/>
        <s v="Tomatoes 1kg"/>
        <s v="Cream Pastry"/>
        <s v="Chess Set"/>
        <s v="Sandal (Women)"/>
        <s v="Chocolate Chip Cookies"/>
        <s v="Cartoon Plush Toy"/>
        <s v="Bluetooth Speaker"/>
        <s v="Canned Tuna 200g"/>
        <s v="Robot Toy"/>
        <s v="Vanilla Cake 500g"/>
        <s v="Conditioner 200ml"/>
        <s v="Dishwash Liquid 1L"/>
        <s v="Wired Headphones"/>
        <s v="USB Cable Type-C"/>
        <s v="Lipstick"/>
        <s v="Feature Phone"/>
        <s v="Bed Sheet Set"/>
        <s v="Body Wash 500ml"/>
        <s v="Brown Bread Loaf"/>
        <s v="Mutton 1kg"/>
        <s v="Sneakers (Men)"/>
        <s v="Roll Paratha Pack"/>
        <s v="White Bread Loaf"/>
        <s v="Turmeric Powder 200g"/>
        <s v="Air Fryer"/>
        <s v="Fabric Softener 2L"/>
        <s v="Breakfast Cereal 500g"/>
        <s v="Stem Kit"/>
        <s v="Slippers Pair"/>
        <s v="Bath Towel"/>
        <s v="Stain Remover 500ml"/>
        <s v="BB Cream 30ml"/>
        <s v="Chicken Breast 1kg"/>
        <s v="Samosa Pack (12pc)"/>
        <s v="Moisturizer 50ml"/>
        <s v="Superhero Action Figure"/>
        <s v="Cotton Shalwar Kameez"/>
        <s v="Apples 1kg"/>
        <s v="Sufola Cooking Oil 5L"/>
        <s v="Pizza Base (2pc)"/>
        <s v="Tea Pack 500g"/>
        <s v="Olive Oil 1L"/>
        <s v="Face Wash 150ml"/>
        <s v="Geography Globe"/>
        <s v="Meezan Banaspati 5L"/>
        <s v="Toilet Cleaner 1L"/>
        <s v="Whole Chicken 1.5kg"/>
        <s v="Attar 12ml"/>
        <s v="Perfume 50ml (Women)"/>
        <s v="Perfume 50ml (Men)"/>
        <s v="Power Bank 20000mAh"/>
        <s v="Non-stick Pan"/>
      </sharedItems>
    </cacheField>
    <cacheField name="Quantity" numFmtId="3">
      <sharedItems containsSemiMixedTypes="0" containsString="0" containsNumber="1" containsInteger="1" minValue="1" maxValue="12"/>
    </cacheField>
    <cacheField name="Unit Price (PKR)" numFmtId="165">
      <sharedItems containsSemiMixedTypes="0" containsString="0" containsNumber="1" containsInteger="1" minValue="90" maxValue="85000"/>
    </cacheField>
    <cacheField name="Gross Sales (PKR)" numFmtId="165">
      <sharedItems containsSemiMixedTypes="0" containsString="0" containsNumber="1" containsInteger="1" minValue="90" maxValue="168000"/>
    </cacheField>
    <cacheField name="Discount %" numFmtId="166">
      <sharedItems containsSemiMixedTypes="0" containsString="0" containsNumber="1" minValue="0" maxValue="0.3" count="178">
        <n v="0"/>
        <n v="0.14799999999999999"/>
        <n v="7.6999999999999999E-2"/>
        <n v="2.5999999999999999E-2"/>
        <n v="0.20100000000000001"/>
        <n v="7.0000000000000001E-3"/>
        <n v="0.14000000000000001"/>
        <n v="0.127"/>
        <n v="0.1"/>
        <n v="0.114"/>
        <n v="4.7E-2"/>
        <n v="3.4000000000000002E-2"/>
        <n v="7.8E-2"/>
        <n v="0.03"/>
        <n v="0.10299999999999999"/>
        <n v="0.29699999999999999"/>
        <n v="1.7000000000000001E-2"/>
        <n v="4.9000000000000002E-2"/>
        <n v="6.8000000000000005E-2"/>
        <n v="9.5000000000000001E-2"/>
        <n v="1.6E-2"/>
        <n v="0.217"/>
        <n v="0.19600000000000001"/>
        <n v="0.192"/>
        <n v="0.249"/>
        <n v="0.153"/>
        <n v="8.2000000000000003E-2"/>
        <n v="2.4E-2"/>
        <n v="9.0999999999999998E-2"/>
        <n v="0.109"/>
        <n v="4.8000000000000001E-2"/>
        <n v="0.3"/>
        <n v="4.2999999999999997E-2"/>
        <n v="1.4E-2"/>
        <n v="7.4999999999999997E-2"/>
        <n v="7.2999999999999995E-2"/>
        <n v="0.05"/>
        <n v="8.9999999999999993E-3"/>
        <n v="3.9E-2"/>
        <n v="0.13600000000000001"/>
        <n v="2.3E-2"/>
        <n v="8.6999999999999994E-2"/>
        <n v="3.0000000000000001E-3"/>
        <n v="2.1000000000000001E-2"/>
        <n v="0.28999999999999998"/>
        <n v="3.7999999999999999E-2"/>
        <n v="0.16700000000000001"/>
        <n v="1.4999999999999999E-2"/>
        <n v="2.7E-2"/>
        <n v="0.20300000000000001"/>
        <n v="0.14399999999999999"/>
        <n v="7.3999999999999996E-2"/>
        <n v="5.7000000000000002E-2"/>
        <n v="0.106"/>
        <n v="0.107"/>
        <n v="9.2999999999999999E-2"/>
        <n v="2.8000000000000001E-2"/>
        <n v="4.5999999999999999E-2"/>
        <n v="0.13900000000000001"/>
        <n v="0.14899999999999999"/>
        <n v="0.28499999999999998"/>
        <n v="0.24099999999999999"/>
        <n v="5.3999999999999999E-2"/>
        <n v="9.8000000000000004E-2"/>
        <n v="0.01"/>
        <n v="5.1999999999999998E-2"/>
        <n v="1.0999999999999999E-2"/>
        <n v="0.14599999999999999"/>
        <n v="0.11"/>
        <n v="8.1000000000000003E-2"/>
        <n v="5.0000000000000001E-3"/>
        <n v="0.26"/>
        <n v="6.7000000000000004E-2"/>
        <n v="6.0999999999999999E-2"/>
        <n v="8.5000000000000006E-2"/>
        <n v="0.02"/>
        <n v="6.5000000000000002E-2"/>
        <n v="0.17599999999999999"/>
        <n v="6.0000000000000001E-3"/>
        <n v="0.215"/>
        <n v="3.5999999999999997E-2"/>
        <n v="0.14499999999999999"/>
        <n v="1.7999999999999999E-2"/>
        <n v="0.105"/>
        <n v="2.5000000000000001E-2"/>
        <n v="0.16600000000000001"/>
        <n v="9.7000000000000003E-2"/>
        <n v="0.128"/>
        <n v="0.24399999999999999"/>
        <n v="0.19400000000000001"/>
        <n v="0.193"/>
        <n v="6.3E-2"/>
        <n v="0.26500000000000001"/>
        <n v="5.5E-2"/>
        <n v="0.13500000000000001"/>
        <n v="0.10199999999999999"/>
        <n v="1.2E-2"/>
        <n v="4.0000000000000001E-3"/>
        <n v="0.28699999999999998"/>
        <n v="6.4000000000000001E-2"/>
        <n v="0.22900000000000001"/>
        <n v="0.04"/>
        <n v="0.28199999999999997"/>
        <n v="1.2999999999999999E-2"/>
        <n v="8.0000000000000002E-3"/>
        <n v="0.28100000000000003"/>
        <n v="0.21199999999999999"/>
        <n v="4.1000000000000002E-2"/>
        <n v="0.27500000000000002"/>
        <n v="0.108"/>
        <n v="0.13400000000000001"/>
        <n v="1.9E-2"/>
        <n v="0.24299999999999999"/>
        <n v="0.112"/>
        <n v="9.6000000000000002E-2"/>
        <n v="0.11899999999999999"/>
        <n v="3.3000000000000002E-2"/>
        <n v="0.23200000000000001"/>
        <n v="3.5000000000000003E-2"/>
        <n v="7.5999999999999998E-2"/>
        <n v="2.1999999999999999E-2"/>
        <n v="0.159"/>
        <n v="0.111"/>
        <n v="0.218"/>
        <n v="4.3999999999999997E-2"/>
        <n v="2E-3"/>
        <n v="0.11799999999999999"/>
        <n v="0.221"/>
        <n v="4.2000000000000003E-2"/>
        <n v="9.9000000000000005E-2"/>
        <n v="0.11700000000000001"/>
        <n v="7.0000000000000007E-2"/>
        <n v="0.19900000000000001"/>
        <n v="9.4E-2"/>
        <n v="0.16900000000000001"/>
        <n v="0.13100000000000001"/>
        <n v="5.2999999999999999E-2"/>
        <n v="6.9000000000000006E-2"/>
        <n v="9.1999999999999998E-2"/>
        <n v="5.8000000000000003E-2"/>
        <n v="0.23899999999999999"/>
        <n v="4.4999999999999998E-2"/>
        <n v="5.8999999999999997E-2"/>
        <n v="0.23499999999999999"/>
        <n v="0.17299999999999999"/>
        <n v="6.6000000000000003E-2"/>
        <n v="8.4000000000000005E-2"/>
        <n v="0.08"/>
        <n v="3.2000000000000001E-2"/>
        <n v="0.13300000000000001"/>
        <n v="5.0999999999999997E-2"/>
        <n v="0.183"/>
        <n v="1E-3"/>
        <n v="0.29299999999999998"/>
        <n v="0.06"/>
        <n v="0.124"/>
        <n v="0.187"/>
        <n v="0.17499999999999999"/>
        <n v="0.19500000000000001"/>
        <n v="0.10100000000000001"/>
        <n v="8.8999999999999996E-2"/>
        <n v="0.14299999999999999"/>
        <n v="0.16200000000000001"/>
        <n v="0.123"/>
        <n v="8.3000000000000004E-2"/>
        <n v="0.18099999999999999"/>
        <n v="5.6000000000000001E-2"/>
        <n v="0.28899999999999998"/>
        <n v="0.113"/>
        <n v="3.6999999999999998E-2"/>
        <n v="0.125"/>
        <n v="2.9000000000000001E-2"/>
        <n v="0.20499999999999999"/>
        <n v="0.11600000000000001"/>
        <n v="8.7999999999999995E-2"/>
        <n v="0.18"/>
        <n v="0.20599999999999999"/>
        <n v="0.161"/>
      </sharedItems>
    </cacheField>
    <cacheField name="Discount Amount (PKR)" numFmtId="165">
      <sharedItems containsSemiMixedTypes="0" containsString="0" containsNumber="1" minValue="0" maxValue="24382"/>
    </cacheField>
    <cacheField name="Net Sales (PKR)" numFmtId="165">
      <sharedItems containsSemiMixedTypes="0" containsString="0" containsNumber="1" minValue="90" maxValue="168000" count="644">
        <n v="3000"/>
        <n v="4260"/>
        <n v="2800"/>
        <n v="7291.7"/>
        <n v="8800"/>
        <n v="1200"/>
        <n v="4188.2"/>
        <n v="5353.3"/>
        <n v="9300"/>
        <n v="9000"/>
        <n v="4350"/>
        <n v="11250"/>
        <n v="6100"/>
        <n v="1850"/>
        <n v="750"/>
        <n v="1837.05"/>
        <n v="5160"/>
        <n v="2750"/>
        <n v="7300"/>
        <n v="523.79999999999995"/>
        <n v="2050"/>
        <n v="53100"/>
        <n v="1489.5"/>
        <n v="3250"/>
        <n v="48000"/>
        <n v="21707"/>
        <n v="9053.5"/>
        <n v="940"/>
        <n v="11109"/>
        <n v="3042.6"/>
        <n v="370"/>
        <n v="1350"/>
        <n v="814.8"/>
        <n v="2870.4"/>
        <n v="3233.8"/>
        <n v="1450"/>
        <n v="2949"/>
        <n v="4800"/>
        <n v="6000"/>
        <n v="14000"/>
        <n v="133.13999999999999"/>
        <n v="1550"/>
        <n v="2600"/>
        <n v="3681.4"/>
        <n v="5611"/>
        <n v="3542.4"/>
        <n v="8850"/>
        <n v="4306.5"/>
        <n v="1768.8"/>
        <n v="67940"/>
        <n v="4400"/>
        <n v="1131.2"/>
        <n v="2300"/>
        <n v="600.79999999999995"/>
        <n v="2200"/>
        <n v="5000"/>
        <n v="3500"/>
        <n v="22000"/>
        <n v="6600"/>
        <n v="4235"/>
        <n v="428.56"/>
        <n v="1440"/>
        <n v="520"/>
        <n v="1440.45"/>
        <n v="2249.1"/>
        <n v="63500"/>
        <n v="1317.6"/>
        <n v="8500"/>
        <n v="2400"/>
        <n v="18000"/>
        <n v="427.23"/>
        <n v="400"/>
        <n v="3600"/>
        <n v="51678"/>
        <n v="676.2"/>
        <n v="1500"/>
        <n v="9200"/>
        <n v="1140"/>
        <n v="950"/>
        <n v="2850"/>
        <n v="4284"/>
        <n v="19500"/>
        <n v="73000"/>
        <n v="1700"/>
        <n v="735"/>
        <n v="163000"/>
        <n v="55500"/>
        <n v="270"/>
        <n v="1052.7"/>
        <n v="3750"/>
        <n v="4500"/>
        <n v="4600"/>
        <n v="2859.4"/>
        <n v="2654.1"/>
        <n v="1480"/>
        <n v="4300"/>
        <n v="1100"/>
        <n v="6847.2"/>
        <n v="7600"/>
        <n v="900"/>
        <n v="6300"/>
        <n v="1650"/>
        <n v="550"/>
        <n v="6859.8"/>
        <n v="399"/>
        <n v="1950"/>
        <n v="178.38"/>
        <n v="6919.2"/>
        <n v="25056"/>
        <n v="800"/>
        <n v="220"/>
        <n v="9525.75"/>
        <n v="330"/>
        <n v="55236.5"/>
        <n v="2150"/>
        <n v="390"/>
        <n v="2392.8000000000002"/>
        <n v="9545.25"/>
        <n v="2500"/>
        <n v="5400"/>
        <n v="852"/>
        <n v="2655.12"/>
        <n v="1666"/>
        <n v="2900"/>
        <n v="1800"/>
        <n v="295.5"/>
        <n v="60000"/>
        <n v="10508.4"/>
        <n v="270.98"/>
        <n v="3700"/>
        <n v="1050"/>
        <n v="1583.6"/>
        <n v="410"/>
        <n v="4000"/>
        <n v="5556"/>
        <n v="18860"/>
        <n v="49000"/>
        <n v="290"/>
        <n v="56500"/>
        <n v="8900"/>
        <n v="600"/>
        <n v="2550"/>
        <n v="660"/>
        <n v="4559.3999999999996"/>
        <n v="437.57"/>
        <n v="2100"/>
        <n v="1315.15"/>
        <n v="4250"/>
        <n v="5832"/>
        <n v="10000"/>
        <n v="46800"/>
        <n v="1900"/>
        <n v="2700"/>
        <n v="65500"/>
        <n v="7200"/>
        <n v="4050"/>
        <n v="5700"/>
        <n v="2337.3000000000002"/>
        <n v="2884.35"/>
        <n v="4200"/>
        <n v="850"/>
        <n v="1400"/>
        <n v="5796"/>
        <n v="7000"/>
        <n v="374.3"/>
        <n v="55000"/>
        <n v="2850.85"/>
        <n v="200"/>
        <n v="500"/>
        <n v="2860"/>
        <n v="1034.25"/>
        <n v="2007.9"/>
        <n v="1300"/>
        <n v="4291.95"/>
        <n v="190"/>
        <n v="3301.65"/>
        <n v="167000"/>
        <n v="5200"/>
        <n v="8400"/>
        <n v="24500"/>
        <n v="946"/>
        <n v="2000"/>
        <n v="10824"/>
        <n v="2574"/>
        <n v="331.8"/>
        <n v="27500"/>
        <n v="1186.8"/>
        <n v="3900"/>
        <n v="11400"/>
        <n v="142618"/>
        <n v="210"/>
        <n v="2180.5"/>
        <n v="2350"/>
        <n v="34500"/>
        <n v="4595"/>
        <n v="480"/>
        <n v="9150"/>
        <n v="260"/>
        <n v="4450"/>
        <n v="2587"/>
        <n v="2164.8000000000002"/>
        <n v="4468.5"/>
        <n v="7350"/>
        <n v="4750"/>
        <n v="4707.25"/>
        <n v="5620.2"/>
        <n v="6400"/>
        <n v="3950"/>
        <n v="1790.1"/>
        <n v="999.9"/>
        <n v="230"/>
        <n v="2310.35"/>
        <n v="59000"/>
        <n v="3300"/>
        <n v="1250"/>
        <n v="420"/>
        <n v="8000"/>
        <n v="3450"/>
        <n v="7104"/>
        <n v="9043.6"/>
        <n v="52248"/>
        <n v="2940"/>
        <n v="8451"/>
        <n v="3019.5"/>
        <n v="1264.2"/>
        <n v="2992"/>
        <n v="3543.2"/>
        <n v="650"/>
        <n v="158.94999999999999"/>
        <n v="308.14"/>
        <n v="1000"/>
        <n v="7442.4"/>
        <n v="3150"/>
        <n v="109000"/>
        <n v="11700"/>
        <n v="333"/>
        <n v="1635.4"/>
        <n v="55165"/>
        <n v="5500"/>
        <n v="15000"/>
        <n v="290.45"/>
        <n v="3650"/>
        <n v="3550"/>
        <n v="171.18"/>
        <n v="840"/>
        <n v="11086"/>
        <n v="3800"/>
        <n v="4275"/>
        <n v="2950"/>
        <n v="11489.4"/>
        <n v="6712.5"/>
        <n v="1711.8"/>
        <n v="568.79999999999995"/>
        <n v="1023.75"/>
        <n v="18348"/>
        <n v="30500"/>
        <n v="10158.75"/>
        <n v="61912"/>
        <n v="1965.6"/>
        <n v="3949.4"/>
        <n v="9600"/>
        <n v="39000"/>
        <n v="7241.4"/>
        <n v="15200"/>
        <n v="41500"/>
        <n v="19000"/>
        <n v="2098.1999999999998"/>
        <n v="18400"/>
        <n v="7306.2"/>
        <n v="3311"/>
        <n v="1011.96"/>
        <n v="9500"/>
        <n v="4777.5"/>
        <n v="3566.25"/>
        <n v="5100"/>
        <n v="4950"/>
        <n v="14400"/>
        <n v="5800"/>
        <n v="2695"/>
        <n v="3543.75"/>
        <n v="338.98"/>
        <n v="4671"/>
        <n v="10800"/>
        <n v="7800"/>
        <n v="13649.6"/>
        <n v="46500"/>
        <n v="8550"/>
        <n v="3734.1"/>
        <n v="5038.8"/>
        <n v="2390.4"/>
        <n v="2923.3"/>
        <n v="3200"/>
        <n v="3790.8"/>
        <n v="1738.8"/>
        <n v="490"/>
        <n v="897.3"/>
        <n v="2403.1999999999998"/>
        <n v="43000"/>
        <n v="12000"/>
        <n v="2970"/>
        <n v="1475.2"/>
        <n v="24000"/>
        <n v="4550.3999999999996"/>
        <n v="12600"/>
        <n v="2349.6"/>
        <n v="7207.5"/>
        <n v="1383.2"/>
        <n v="3400"/>
        <n v="2106"/>
        <n v="6150"/>
        <n v="8442.4500000000007"/>
        <n v="16250"/>
        <n v="5250"/>
        <n v="620"/>
        <n v="2016"/>
        <n v="280"/>
        <n v="1150"/>
        <n v="933.40000000000009"/>
        <n v="4342.8"/>
        <n v="856.8"/>
        <n v="1289.5999999999999"/>
        <n v="10730"/>
        <n v="7500"/>
        <n v="8694"/>
        <n v="22500"/>
        <n v="2646"/>
        <n v="2983.85"/>
        <n v="4241.25"/>
        <n v="72000"/>
        <n v="5791.8"/>
        <n v="26000"/>
        <n v="3489.5"/>
        <n v="3370.65"/>
        <n v="3850"/>
        <n v="2109.8000000000002"/>
        <n v="77500"/>
        <n v="8250"/>
        <n v="1267"/>
        <n v="2972.5"/>
        <n v="24976"/>
        <n v="3290.8"/>
        <n v="168000"/>
        <n v="5886"/>
        <n v="3355.8"/>
        <n v="1059.8"/>
        <n v="27084"/>
        <n v="1649.76"/>
        <n v="2621.6"/>
        <n v="1894.15"/>
        <n v="7656"/>
        <n v="918.65"/>
        <n v="7257.6"/>
        <n v="3316.5"/>
        <n v="3458"/>
        <n v="4495.95"/>
        <n v="7100"/>
        <n v="8700"/>
        <n v="11200"/>
        <n v="51000"/>
        <n v="4700"/>
        <n v="48396"/>
        <n v="28500"/>
        <n v="79500"/>
        <n v="6900"/>
        <n v="902"/>
        <n v="1100.0999999999999"/>
        <n v="32802"/>
        <n v="12518.4"/>
        <n v="416.64"/>
        <n v="516.45000000000005"/>
        <n v="2780.7"/>
        <n v="227.01"/>
        <n v="18486"/>
        <n v="4111.8"/>
        <n v="4721.5"/>
        <n v="1639.95"/>
        <n v="451.5"/>
        <n v="4400.55"/>
        <n v="474.76"/>
        <n v="7148.4"/>
        <n v="2450"/>
        <n v="350"/>
        <n v="141614"/>
        <n v="31000"/>
        <n v="3571.75"/>
        <n v="3792.7"/>
        <n v="3720.2"/>
        <n v="5358"/>
        <n v="26500"/>
        <n v="2151"/>
        <n v="540"/>
        <n v="748.5"/>
        <n v="106.37"/>
        <n v="2888"/>
        <n v="4013.55"/>
        <n v="1429.92"/>
        <n v="1570.8"/>
        <n v="1351"/>
        <n v="1241.25"/>
        <n v="2250"/>
        <n v="1786"/>
        <n v="8574.75"/>
        <n v="28665"/>
        <n v="3544.45"/>
        <n v="60099"/>
        <n v="1724.4"/>
        <n v="1880"/>
        <n v="928.72"/>
        <n v="3288.65"/>
        <n v="130"/>
        <n v="9250"/>
        <n v="4326.7"/>
        <n v="2609.6"/>
        <n v="104160"/>
        <n v="17000"/>
        <n v="4708"/>
        <n v="1962.45"/>
        <n v="5424"/>
        <n v="68403"/>
        <n v="1719.5"/>
        <n v="3240.9"/>
        <n v="1898.3"/>
        <n v="50402"/>
        <n v="594"/>
        <n v="8215.2000000000007"/>
        <n v="4154.1499999999996"/>
        <n v="3526"/>
        <n v="640"/>
        <n v="1278.45"/>
        <n v="3230.7"/>
        <n v="800.52"/>
        <n v="76000"/>
        <n v="1489.6"/>
        <n v="4150"/>
        <n v="1471.5"/>
        <n v="832.5"/>
        <n v="1707.04"/>
        <n v="30615"/>
        <n v="1905.15"/>
        <n v="8822.7999999999993"/>
        <n v="837.1"/>
        <n v="286.5"/>
        <n v="272.89"/>
        <n v="360"/>
        <n v="3652"/>
        <n v="1032.75"/>
        <n v="75500"/>
        <n v="6800"/>
        <n v="6998.4"/>
        <n v="3680"/>
        <n v="29500"/>
        <n v="983.84"/>
        <n v="8424"/>
        <n v="50000"/>
        <n v="45000"/>
        <n v="3721.5"/>
        <n v="13000"/>
        <n v="140"/>
        <n v="2790.15"/>
        <n v="1271.7"/>
        <n v="29000"/>
        <n v="1720"/>
        <n v="5463.9"/>
        <n v="320"/>
        <n v="805.8"/>
        <n v="9450"/>
        <n v="986"/>
        <n v="15938.4"/>
        <n v="69000"/>
        <n v="1600"/>
        <n v="82500"/>
        <n v="1960"/>
        <n v="1976"/>
        <n v="2365"/>
        <n v="4646.3999999999996"/>
        <n v="4338.3999999999996"/>
        <n v="820"/>
        <n v="11000"/>
        <n v="700"/>
        <n v="1118.95"/>
        <n v="841.5"/>
        <n v="1010.1"/>
        <n v="38003"/>
        <n v="358.92"/>
        <n v="3592"/>
        <n v="476.85"/>
        <n v="56083.5"/>
        <n v="300"/>
        <n v="9040"/>
        <n v="2087.8000000000002"/>
        <n v="6270"/>
        <n v="7378.8"/>
        <n v="3701.25"/>
        <n v="857.85"/>
        <n v="845.38"/>
        <n v="6532.25"/>
        <n v="6500"/>
        <n v="846.9"/>
        <n v="27000"/>
        <n v="18769.5"/>
        <n v="8791.2000000000007"/>
        <n v="1783.8"/>
        <n v="1802.85"/>
        <n v="1446"/>
        <n v="4773.6000000000004"/>
        <n v="2223.1"/>
        <n v="1036.1500000000001"/>
        <n v="3046.05"/>
        <n v="623.70000000000005"/>
        <n v="1587.25"/>
        <n v="1571.2"/>
        <n v="3661.3"/>
        <n v="4794"/>
        <n v="2861.5"/>
        <n v="11600"/>
        <n v="2946"/>
        <n v="5694"/>
        <n v="487.8"/>
        <n v="28000"/>
        <n v="64500"/>
        <n v="2648.8"/>
        <n v="4762.8"/>
        <n v="10534"/>
        <n v="450"/>
        <n v="1443.75"/>
        <n v="4664.8"/>
        <n v="6252.8"/>
        <n v="1086.75"/>
        <n v="13200"/>
        <n v="7533.6"/>
        <n v="1410"/>
        <n v="735.75"/>
        <n v="2747.5"/>
        <n v="3394.8"/>
        <n v="1839.2"/>
        <n v="4752"/>
        <n v="8750"/>
        <n v="20496"/>
        <n v="1750"/>
        <n v="607.95000000000005"/>
        <n v="6020.7"/>
        <n v="90"/>
        <n v="2241.6"/>
        <n v="2382.35"/>
        <n v="24365"/>
        <n v="3050"/>
        <n v="6200"/>
        <n v="110"/>
        <n v="100"/>
        <n v="391.73"/>
        <n v="68560"/>
        <n v="2049.1999999999998"/>
        <n v="4499.55"/>
        <n v="3515.5"/>
        <n v="3519.6"/>
        <n v="403.42"/>
        <n v="42000"/>
        <n v="14424.8"/>
        <n v="222.64"/>
        <n v="724"/>
        <n v="6391"/>
        <n v="3100"/>
        <n v="562.20000000000005"/>
        <n v="339.29"/>
        <n v="2381.4"/>
        <n v="2595.6"/>
        <n v="4900"/>
        <n v="1601.25"/>
        <n v="85000"/>
        <n v="19929"/>
        <n v="4100"/>
        <n v="2159.6999999999998"/>
        <n v="669.8"/>
        <n v="475.68"/>
        <n v="3071.25"/>
        <n v="1153.5999999999999"/>
        <n v="8586"/>
        <n v="623.04"/>
        <n v="3831.3"/>
        <n v="441.49"/>
        <n v="6114.6"/>
        <n v="2956.3"/>
        <n v="19957.5"/>
        <n v="77000"/>
        <n v="10500"/>
        <n v="5084.7"/>
        <n v="60500"/>
        <n v="62000"/>
        <n v="3466.8"/>
        <n v="1802"/>
        <n v="1806"/>
        <n v="2688.24"/>
        <n v="476.5"/>
        <n v="2210.3000000000002"/>
        <n v="23000"/>
        <n v="13800"/>
        <n v="2029.6"/>
        <n v="11544"/>
        <n v="2997"/>
        <n v="997"/>
        <n v="1394.9"/>
        <n v="66000"/>
        <n v="13562.5"/>
        <n v="699.12"/>
        <n v="3585.6"/>
        <n v="1176.5"/>
        <n v="8541"/>
        <n v="1210.32"/>
        <n v="460"/>
        <n v="1580.8"/>
        <n v="564.6"/>
        <n v="992"/>
        <n v="43440"/>
        <n v="4372.5"/>
        <n v="7500.6"/>
        <n v="53500"/>
        <n v="6617.1"/>
        <n v="2988"/>
        <n v="3772"/>
        <n v="28200"/>
        <n v="6630"/>
        <n v="5563.2"/>
        <n v="2095.1999999999998"/>
        <n v="441.33"/>
        <n v="6739.8"/>
        <n v="673.4"/>
        <n v="180"/>
        <n v="4650"/>
        <n v="690"/>
        <n v="2890.8"/>
        <n v="3690"/>
        <n v="1088.0999999999999"/>
        <n v="296.05"/>
        <n v="3708"/>
        <n v="52500"/>
        <n v="319.94"/>
        <n v="84000"/>
        <n v="1588"/>
        <n v="1261"/>
        <n v="1925.7"/>
        <n v="7400"/>
        <n v="1174.5999999999999"/>
        <n v="492"/>
        <n v="310"/>
      </sharedItems>
    </cacheField>
  </cacheFields>
  <extLst>
    <ext xmlns:x14="http://schemas.microsoft.com/office/spreadsheetml/2009/9/main" uri="{725AE2AE-9491-48be-B2B4-4EB974FC3084}">
      <x14:pivotCacheDefinition pivotCacheId="20745717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TXN-00001"/>
    <d v="2023-12-21T00:00:00"/>
    <x v="0"/>
    <s v="December"/>
    <x v="0"/>
    <s v="Hyderabad"/>
    <x v="0"/>
    <s v="Beverages"/>
    <x v="0"/>
    <n v="3"/>
    <n v="1000"/>
    <n v="3000"/>
    <x v="0"/>
    <n v="0"/>
    <x v="0"/>
  </r>
  <r>
    <s v="TXN-00002"/>
    <d v="2025-02-22T00:00:00"/>
    <x v="1"/>
    <s v="February"/>
    <x v="1"/>
    <s v="Karachi"/>
    <x v="1"/>
    <s v="Mobiles &amp; Tablets"/>
    <x v="1"/>
    <n v="1"/>
    <n v="5000"/>
    <n v="5000"/>
    <x v="1"/>
    <n v="740"/>
    <x v="1"/>
  </r>
  <r>
    <s v="TXN-00003"/>
    <d v="2023-04-11T00:00:00"/>
    <x v="0"/>
    <s v="April"/>
    <x v="0"/>
    <s v="Hyderabad"/>
    <x v="2"/>
    <s v="Vegetables"/>
    <x v="2"/>
    <n v="4"/>
    <n v="700"/>
    <n v="2800"/>
    <x v="0"/>
    <n v="0"/>
    <x v="2"/>
  </r>
  <r>
    <s v="TXN-00004"/>
    <d v="2023-02-24T00:00:00"/>
    <x v="0"/>
    <s v="February"/>
    <x v="2"/>
    <s v="Lahore"/>
    <x v="3"/>
    <s v="Laundry"/>
    <x v="3"/>
    <n v="2"/>
    <n v="3950"/>
    <n v="7900"/>
    <x v="2"/>
    <n v="608.29999999999995"/>
    <x v="3"/>
  </r>
  <r>
    <s v="TXN-00005"/>
    <d v="2025-11-30T00:00:00"/>
    <x v="1"/>
    <s v="November"/>
    <x v="3"/>
    <s v="Islamabad"/>
    <x v="4"/>
    <s v="Cookies"/>
    <x v="4"/>
    <n v="8"/>
    <n v="1100"/>
    <n v="8800"/>
    <x v="0"/>
    <n v="0"/>
    <x v="4"/>
  </r>
  <r>
    <s v="TXN-00006"/>
    <d v="2024-05-13T00:00:00"/>
    <x v="2"/>
    <s v="May"/>
    <x v="1"/>
    <s v="Karachi"/>
    <x v="3"/>
    <s v="Kitchenware"/>
    <x v="5"/>
    <n v="2"/>
    <n v="600"/>
    <n v="1200"/>
    <x v="0"/>
    <n v="0"/>
    <x v="5"/>
  </r>
  <r>
    <s v="TXN-00007"/>
    <d v="2025-08-01T00:00:00"/>
    <x v="1"/>
    <s v="August"/>
    <x v="1"/>
    <s v="Karachi"/>
    <x v="5"/>
    <s v="Skincare"/>
    <x v="6"/>
    <n v="2"/>
    <n v="2150"/>
    <n v="4300"/>
    <x v="3"/>
    <n v="111.8"/>
    <x v="6"/>
  </r>
  <r>
    <s v="TXN-00008"/>
    <d v="2025-12-24T00:00:00"/>
    <x v="1"/>
    <s v="December"/>
    <x v="0"/>
    <s v="Hyderabad"/>
    <x v="6"/>
    <s v="Women's Wear"/>
    <x v="7"/>
    <n v="2"/>
    <n v="3350"/>
    <n v="6700"/>
    <x v="4"/>
    <n v="1346.7"/>
    <x v="7"/>
  </r>
  <r>
    <s v="TXN-00009"/>
    <d v="2024-11-09T00:00:00"/>
    <x v="2"/>
    <s v="November"/>
    <x v="1"/>
    <s v="Karachi"/>
    <x v="4"/>
    <s v="Breads"/>
    <x v="8"/>
    <n v="6"/>
    <n v="1550"/>
    <n v="9300"/>
    <x v="0"/>
    <n v="0"/>
    <x v="8"/>
  </r>
  <r>
    <s v="TXN-00010"/>
    <d v="2023-11-26T00:00:00"/>
    <x v="0"/>
    <s v="November"/>
    <x v="3"/>
    <s v="Islamabad"/>
    <x v="7"/>
    <s v="Plush Toys"/>
    <x v="9"/>
    <n v="2"/>
    <n v="4500"/>
    <n v="9000"/>
    <x v="0"/>
    <n v="0"/>
    <x v="9"/>
  </r>
  <r>
    <s v="TXN-00011"/>
    <d v="2024-07-18T00:00:00"/>
    <x v="2"/>
    <s v="July"/>
    <x v="2"/>
    <s v="Lahore"/>
    <x v="0"/>
    <s v="Packaged Foods"/>
    <x v="10"/>
    <n v="3"/>
    <n v="1450"/>
    <n v="4350"/>
    <x v="0"/>
    <n v="0"/>
    <x v="10"/>
  </r>
  <r>
    <s v="TXN-00012"/>
    <d v="2025-10-25T00:00:00"/>
    <x v="1"/>
    <s v="October"/>
    <x v="2"/>
    <s v="Lahore"/>
    <x v="7"/>
    <s v="Plush Toys"/>
    <x v="11"/>
    <n v="3"/>
    <n v="3750"/>
    <n v="11250"/>
    <x v="0"/>
    <n v="0"/>
    <x v="11"/>
  </r>
  <r>
    <s v="TXN-00013"/>
    <d v="2025-10-31T00:00:00"/>
    <x v="1"/>
    <s v="October"/>
    <x v="1"/>
    <s v="Karachi"/>
    <x v="6"/>
    <s v="Men's Wear"/>
    <x v="12"/>
    <n v="2"/>
    <n v="3050"/>
    <n v="6100"/>
    <x v="0"/>
    <n v="0"/>
    <x v="12"/>
  </r>
  <r>
    <s v="TXN-00014"/>
    <d v="2024-03-13T00:00:00"/>
    <x v="2"/>
    <s v="March"/>
    <x v="2"/>
    <s v="Lahore"/>
    <x v="3"/>
    <s v="Kitchenware"/>
    <x v="13"/>
    <n v="1"/>
    <n v="1850"/>
    <n v="1850"/>
    <x v="0"/>
    <n v="0"/>
    <x v="13"/>
  </r>
  <r>
    <s v="TXN-00015"/>
    <d v="2025-11-10T00:00:00"/>
    <x v="1"/>
    <s v="November"/>
    <x v="3"/>
    <s v="Islamabad"/>
    <x v="2"/>
    <s v="Dairy"/>
    <x v="14"/>
    <n v="1"/>
    <n v="750"/>
    <n v="750"/>
    <x v="0"/>
    <n v="0"/>
    <x v="14"/>
  </r>
  <r>
    <s v="TXN-00016"/>
    <d v="2024-05-03T00:00:00"/>
    <x v="2"/>
    <s v="May"/>
    <x v="2"/>
    <s v="Lahore"/>
    <x v="2"/>
    <s v="Meat &amp; Poultry"/>
    <x v="15"/>
    <n v="5"/>
    <n v="370"/>
    <n v="1850"/>
    <x v="5"/>
    <n v="12.950000000000001"/>
    <x v="15"/>
  </r>
  <r>
    <s v="TXN-00017"/>
    <d v="2023-11-05T00:00:00"/>
    <x v="0"/>
    <s v="November"/>
    <x v="3"/>
    <s v="Islamabad"/>
    <x v="6"/>
    <s v="Women's Wear"/>
    <x v="16"/>
    <n v="1"/>
    <n v="6000"/>
    <n v="6000"/>
    <x v="6"/>
    <n v="840.00000000000011"/>
    <x v="16"/>
  </r>
  <r>
    <s v="TXN-00018"/>
    <d v="2025-11-10T00:00:00"/>
    <x v="1"/>
    <s v="November"/>
    <x v="1"/>
    <s v="Karachi"/>
    <x v="3"/>
    <s v="Laundry"/>
    <x v="17"/>
    <n v="1"/>
    <n v="2750"/>
    <n v="2750"/>
    <x v="0"/>
    <n v="0"/>
    <x v="17"/>
  </r>
  <r>
    <s v="TXN-00019"/>
    <d v="2024-12-23T00:00:00"/>
    <x v="2"/>
    <s v="December"/>
    <x v="1"/>
    <s v="Karachi"/>
    <x v="3"/>
    <s v="Home Essentials"/>
    <x v="18"/>
    <n v="2"/>
    <n v="3650"/>
    <n v="7300"/>
    <x v="0"/>
    <n v="0"/>
    <x v="18"/>
  </r>
  <r>
    <s v="TXN-00020"/>
    <d v="2024-10-29T00:00:00"/>
    <x v="2"/>
    <s v="October"/>
    <x v="0"/>
    <s v="Hyderabad"/>
    <x v="7"/>
    <s v="Educational"/>
    <x v="19"/>
    <n v="1"/>
    <n v="600"/>
    <n v="600"/>
    <x v="7"/>
    <n v="76.2"/>
    <x v="19"/>
  </r>
  <r>
    <s v="TXN-00021"/>
    <d v="2025-05-24T00:00:00"/>
    <x v="1"/>
    <s v="May"/>
    <x v="0"/>
    <s v="Hyderabad"/>
    <x v="7"/>
    <s v="Board Games"/>
    <x v="20"/>
    <n v="1"/>
    <n v="2050"/>
    <n v="2050"/>
    <x v="0"/>
    <n v="0"/>
    <x v="20"/>
  </r>
  <r>
    <s v="TXN-00022"/>
    <d v="2024-06-11T00:00:00"/>
    <x v="2"/>
    <s v="June"/>
    <x v="2"/>
    <s v="Lahore"/>
    <x v="1"/>
    <s v="Small Appliances"/>
    <x v="21"/>
    <n v="2"/>
    <n v="29500"/>
    <n v="59000"/>
    <x v="8"/>
    <n v="5900"/>
    <x v="21"/>
  </r>
  <r>
    <s v="TXN-00023"/>
    <d v="2023-07-28T00:00:00"/>
    <x v="0"/>
    <s v="July"/>
    <x v="1"/>
    <s v="Karachi"/>
    <x v="3"/>
    <s v="Cleaning Supplies"/>
    <x v="22"/>
    <n v="1"/>
    <n v="1500"/>
    <n v="1500"/>
    <x v="5"/>
    <n v="10.5"/>
    <x v="22"/>
  </r>
  <r>
    <s v="TXN-00024"/>
    <d v="2024-11-19T00:00:00"/>
    <x v="2"/>
    <s v="November"/>
    <x v="1"/>
    <s v="Karachi"/>
    <x v="0"/>
    <s v="Rice &amp; Grains"/>
    <x v="23"/>
    <n v="5"/>
    <n v="650"/>
    <n v="3250"/>
    <x v="0"/>
    <n v="0"/>
    <x v="23"/>
  </r>
  <r>
    <s v="TXN-00025"/>
    <d v="2023-04-22T00:00:00"/>
    <x v="0"/>
    <s v="April"/>
    <x v="2"/>
    <s v="Lahore"/>
    <x v="1"/>
    <s v="Audio &amp; Accessories"/>
    <x v="24"/>
    <n v="1"/>
    <n v="48000"/>
    <n v="48000"/>
    <x v="0"/>
    <n v="0"/>
    <x v="24"/>
  </r>
  <r>
    <s v="TXN-00026"/>
    <d v="2024-10-13T00:00:00"/>
    <x v="2"/>
    <s v="October"/>
    <x v="3"/>
    <s v="Islamabad"/>
    <x v="1"/>
    <s v="Gadgets"/>
    <x v="25"/>
    <n v="1"/>
    <n v="24500"/>
    <n v="24500"/>
    <x v="9"/>
    <n v="2793"/>
    <x v="25"/>
  </r>
  <r>
    <s v="TXN-00027"/>
    <d v="2023-02-17T00:00:00"/>
    <x v="0"/>
    <s v="February"/>
    <x v="3"/>
    <s v="Islamabad"/>
    <x v="0"/>
    <s v="Lentils &amp; Beans"/>
    <x v="26"/>
    <n v="5"/>
    <n v="1900"/>
    <n v="9500"/>
    <x v="10"/>
    <n v="446.5"/>
    <x v="26"/>
  </r>
  <r>
    <s v="TXN-00028"/>
    <d v="2025-03-11T00:00:00"/>
    <x v="1"/>
    <s v="March"/>
    <x v="1"/>
    <s v="Karachi"/>
    <x v="2"/>
    <s v="Dairy"/>
    <x v="14"/>
    <n v="2"/>
    <n v="470"/>
    <n v="940"/>
    <x v="0"/>
    <n v="0"/>
    <x v="27"/>
  </r>
  <r>
    <s v="TXN-00029"/>
    <d v="2023-06-30T00:00:00"/>
    <x v="0"/>
    <s v="June"/>
    <x v="3"/>
    <s v="Islamabad"/>
    <x v="0"/>
    <s v="Beverages"/>
    <x v="27"/>
    <n v="5"/>
    <n v="2300"/>
    <n v="11500"/>
    <x v="11"/>
    <n v="391"/>
    <x v="28"/>
  </r>
  <r>
    <s v="TXN-00030"/>
    <d v="2024-06-02T00:00:00"/>
    <x v="2"/>
    <s v="June"/>
    <x v="1"/>
    <s v="Karachi"/>
    <x v="5"/>
    <s v="Skincare"/>
    <x v="6"/>
    <n v="1"/>
    <n v="3300"/>
    <n v="3300"/>
    <x v="12"/>
    <n v="257.39999999999998"/>
    <x v="29"/>
  </r>
  <r>
    <s v="TXN-00031"/>
    <d v="2024-09-21T00:00:00"/>
    <x v="2"/>
    <s v="September"/>
    <x v="0"/>
    <s v="Hyderabad"/>
    <x v="2"/>
    <s v="Fruits"/>
    <x v="28"/>
    <n v="1"/>
    <n v="370"/>
    <n v="370"/>
    <x v="0"/>
    <n v="0"/>
    <x v="30"/>
  </r>
  <r>
    <s v="TXN-00032"/>
    <d v="2024-10-10T00:00:00"/>
    <x v="2"/>
    <s v="October"/>
    <x v="1"/>
    <s v="Karachi"/>
    <x v="7"/>
    <s v="Action Figures"/>
    <x v="29"/>
    <n v="1"/>
    <n v="1350"/>
    <n v="1350"/>
    <x v="0"/>
    <n v="0"/>
    <x v="31"/>
  </r>
  <r>
    <s v="TXN-00033"/>
    <d v="2024-09-13T00:00:00"/>
    <x v="2"/>
    <s v="September"/>
    <x v="3"/>
    <s v="Islamabad"/>
    <x v="0"/>
    <s v="Rice &amp; Grains"/>
    <x v="23"/>
    <n v="4"/>
    <n v="210"/>
    <n v="840"/>
    <x v="13"/>
    <n v="25.2"/>
    <x v="32"/>
  </r>
  <r>
    <s v="TXN-00034"/>
    <d v="2023-10-02T00:00:00"/>
    <x v="0"/>
    <s v="October"/>
    <x v="3"/>
    <s v="Islamabad"/>
    <x v="6"/>
    <s v="Kids Wear"/>
    <x v="30"/>
    <n v="2"/>
    <n v="1600"/>
    <n v="3200"/>
    <x v="14"/>
    <n v="329.59999999999997"/>
    <x v="33"/>
  </r>
  <r>
    <s v="TXN-00035"/>
    <d v="2025-08-20T00:00:00"/>
    <x v="1"/>
    <s v="August"/>
    <x v="0"/>
    <s v="Hyderabad"/>
    <x v="7"/>
    <s v="Board Games"/>
    <x v="31"/>
    <n v="4"/>
    <n v="1150"/>
    <n v="4600"/>
    <x v="15"/>
    <n v="1366.2"/>
    <x v="34"/>
  </r>
  <r>
    <s v="TXN-00036"/>
    <d v="2023-10-29T00:00:00"/>
    <x v="0"/>
    <s v="October"/>
    <x v="3"/>
    <s v="Islamabad"/>
    <x v="5"/>
    <s v="Personal Care"/>
    <x v="32"/>
    <n v="1"/>
    <n v="1450"/>
    <n v="1450"/>
    <x v="0"/>
    <n v="0"/>
    <x v="35"/>
  </r>
  <r>
    <s v="TXN-00037"/>
    <d v="2025-12-22T00:00:00"/>
    <x v="1"/>
    <s v="December"/>
    <x v="0"/>
    <s v="Hyderabad"/>
    <x v="0"/>
    <s v="Lentils &amp; Beans"/>
    <x v="33"/>
    <n v="3"/>
    <n v="1000"/>
    <n v="3000"/>
    <x v="16"/>
    <n v="51.000000000000007"/>
    <x v="36"/>
  </r>
  <r>
    <s v="TXN-00038"/>
    <d v="2024-10-21T00:00:00"/>
    <x v="2"/>
    <s v="October"/>
    <x v="1"/>
    <s v="Karachi"/>
    <x v="0"/>
    <s v="Spices"/>
    <x v="34"/>
    <n v="6"/>
    <n v="800"/>
    <n v="4800"/>
    <x v="0"/>
    <n v="0"/>
    <x v="37"/>
  </r>
  <r>
    <s v="TXN-00039"/>
    <d v="2023-02-17T00:00:00"/>
    <x v="0"/>
    <s v="February"/>
    <x v="2"/>
    <s v="Lahore"/>
    <x v="6"/>
    <s v="Men's Wear"/>
    <x v="35"/>
    <n v="1"/>
    <n v="6000"/>
    <n v="6000"/>
    <x v="0"/>
    <n v="0"/>
    <x v="38"/>
  </r>
  <r>
    <s v="TXN-00040"/>
    <d v="2023-05-31T00:00:00"/>
    <x v="0"/>
    <s v="May"/>
    <x v="2"/>
    <s v="Lahore"/>
    <x v="0"/>
    <s v="Rice &amp; Grains"/>
    <x v="36"/>
    <n v="8"/>
    <n v="1750"/>
    <n v="14000"/>
    <x v="0"/>
    <n v="0"/>
    <x v="39"/>
  </r>
  <r>
    <s v="TXN-00041"/>
    <d v="2023-11-02T00:00:00"/>
    <x v="0"/>
    <s v="November"/>
    <x v="0"/>
    <s v="Hyderabad"/>
    <x v="2"/>
    <s v="Dairy"/>
    <x v="37"/>
    <n v="1"/>
    <n v="140"/>
    <n v="140"/>
    <x v="17"/>
    <n v="6.86"/>
    <x v="40"/>
  </r>
  <r>
    <s v="TXN-00042"/>
    <d v="2023-05-12T00:00:00"/>
    <x v="0"/>
    <s v="May"/>
    <x v="1"/>
    <s v="Karachi"/>
    <x v="2"/>
    <s v="Dairy"/>
    <x v="37"/>
    <n v="5"/>
    <n v="310"/>
    <n v="1550"/>
    <x v="0"/>
    <n v="0"/>
    <x v="41"/>
  </r>
  <r>
    <s v="TXN-00043"/>
    <d v="2025-10-13T00:00:00"/>
    <x v="1"/>
    <s v="October"/>
    <x v="0"/>
    <s v="Hyderabad"/>
    <x v="6"/>
    <s v="Women's Wear"/>
    <x v="38"/>
    <n v="1"/>
    <n v="2600"/>
    <n v="2600"/>
    <x v="0"/>
    <n v="0"/>
    <x v="42"/>
  </r>
  <r>
    <s v="TXN-00044"/>
    <d v="2024-03-16T00:00:00"/>
    <x v="2"/>
    <s v="March"/>
    <x v="3"/>
    <s v="Islamabad"/>
    <x v="3"/>
    <s v="Home Essentials"/>
    <x v="39"/>
    <n v="1"/>
    <n v="3950"/>
    <n v="3950"/>
    <x v="18"/>
    <n v="268.60000000000002"/>
    <x v="43"/>
  </r>
  <r>
    <s v="TXN-00045"/>
    <d v="2023-03-10T00:00:00"/>
    <x v="0"/>
    <s v="March"/>
    <x v="0"/>
    <s v="Hyderabad"/>
    <x v="5"/>
    <s v="Skincare"/>
    <x v="6"/>
    <n v="2"/>
    <n v="3100"/>
    <n v="6200"/>
    <x v="19"/>
    <n v="589"/>
    <x v="44"/>
  </r>
  <r>
    <s v="TXN-00046"/>
    <d v="2024-09-11T00:00:00"/>
    <x v="2"/>
    <s v="September"/>
    <x v="3"/>
    <s v="Islamabad"/>
    <x v="0"/>
    <s v="Lentils &amp; Beans"/>
    <x v="40"/>
    <n v="8"/>
    <n v="450"/>
    <n v="3600"/>
    <x v="20"/>
    <n v="57.6"/>
    <x v="45"/>
  </r>
  <r>
    <s v="TXN-00047"/>
    <d v="2025-08-13T00:00:00"/>
    <x v="1"/>
    <s v="August"/>
    <x v="0"/>
    <s v="Hyderabad"/>
    <x v="7"/>
    <s v="Board Games"/>
    <x v="20"/>
    <n v="3"/>
    <n v="2950"/>
    <n v="8850"/>
    <x v="0"/>
    <n v="0"/>
    <x v="46"/>
  </r>
  <r>
    <s v="TXN-00048"/>
    <d v="2023-09-20T00:00:00"/>
    <x v="0"/>
    <s v="September"/>
    <x v="0"/>
    <s v="Hyderabad"/>
    <x v="6"/>
    <s v="Women's Wear"/>
    <x v="7"/>
    <n v="2"/>
    <n v="2750"/>
    <n v="5500"/>
    <x v="21"/>
    <n v="1193.5"/>
    <x v="47"/>
  </r>
  <r>
    <s v="TXN-00049"/>
    <d v="2023-02-08T00:00:00"/>
    <x v="0"/>
    <s v="February"/>
    <x v="1"/>
    <s v="Karachi"/>
    <x v="6"/>
    <s v="Kids Wear"/>
    <x v="41"/>
    <n v="1"/>
    <n v="2200"/>
    <n v="2200"/>
    <x v="22"/>
    <n v="431.2"/>
    <x v="48"/>
  </r>
  <r>
    <s v="TXN-00050"/>
    <d v="2023-10-07T00:00:00"/>
    <x v="0"/>
    <s v="October"/>
    <x v="3"/>
    <s v="Islamabad"/>
    <x v="1"/>
    <s v="Gadgets"/>
    <x v="42"/>
    <n v="2"/>
    <n v="39500"/>
    <n v="79000"/>
    <x v="6"/>
    <n v="11060.000000000002"/>
    <x v="49"/>
  </r>
  <r>
    <s v="TXN-00051"/>
    <d v="2024-11-24T00:00:00"/>
    <x v="2"/>
    <s v="November"/>
    <x v="1"/>
    <s v="Karachi"/>
    <x v="3"/>
    <s v="Kitchenware"/>
    <x v="43"/>
    <n v="2"/>
    <n v="2200"/>
    <n v="4400"/>
    <x v="0"/>
    <n v="0"/>
    <x v="50"/>
  </r>
  <r>
    <s v="TXN-00052"/>
    <d v="2024-02-04T00:00:00"/>
    <x v="2"/>
    <s v="February"/>
    <x v="3"/>
    <s v="Islamabad"/>
    <x v="6"/>
    <s v="Kids Wear"/>
    <x v="44"/>
    <n v="1"/>
    <n v="1400"/>
    <n v="1400"/>
    <x v="23"/>
    <n v="268.8"/>
    <x v="51"/>
  </r>
  <r>
    <s v="TXN-00053"/>
    <d v="2023-07-26T00:00:00"/>
    <x v="0"/>
    <s v="July"/>
    <x v="3"/>
    <s v="Islamabad"/>
    <x v="0"/>
    <s v="Lentils &amp; Beans"/>
    <x v="26"/>
    <n v="1"/>
    <n v="2300"/>
    <n v="2300"/>
    <x v="0"/>
    <n v="0"/>
    <x v="52"/>
  </r>
  <r>
    <s v="TXN-00054"/>
    <d v="2024-01-07T00:00:00"/>
    <x v="2"/>
    <s v="January"/>
    <x v="0"/>
    <s v="Hyderabad"/>
    <x v="7"/>
    <s v="Educational"/>
    <x v="45"/>
    <n v="1"/>
    <n v="800"/>
    <n v="800"/>
    <x v="24"/>
    <n v="199.2"/>
    <x v="53"/>
  </r>
  <r>
    <s v="TXN-00055"/>
    <d v="2023-05-01T00:00:00"/>
    <x v="0"/>
    <s v="May"/>
    <x v="2"/>
    <s v="Lahore"/>
    <x v="2"/>
    <s v="Dairy"/>
    <x v="46"/>
    <n v="2"/>
    <n v="1100"/>
    <n v="2200"/>
    <x v="0"/>
    <n v="0"/>
    <x v="54"/>
  </r>
  <r>
    <s v="TXN-00056"/>
    <d v="2023-08-28T00:00:00"/>
    <x v="0"/>
    <s v="August"/>
    <x v="2"/>
    <s v="Lahore"/>
    <x v="6"/>
    <s v="Women's Wear"/>
    <x v="47"/>
    <n v="1"/>
    <n v="5000"/>
    <n v="5000"/>
    <x v="0"/>
    <n v="0"/>
    <x v="55"/>
  </r>
  <r>
    <s v="TXN-00057"/>
    <d v="2024-09-27T00:00:00"/>
    <x v="2"/>
    <s v="September"/>
    <x v="2"/>
    <s v="Lahore"/>
    <x v="4"/>
    <s v="Savoury"/>
    <x v="48"/>
    <n v="2"/>
    <n v="1750"/>
    <n v="3500"/>
    <x v="0"/>
    <n v="0"/>
    <x v="56"/>
  </r>
  <r>
    <s v="TXN-00058"/>
    <d v="2024-12-29T00:00:00"/>
    <x v="2"/>
    <s v="December"/>
    <x v="1"/>
    <s v="Karachi"/>
    <x v="7"/>
    <s v="Plush Toys"/>
    <x v="9"/>
    <n v="2"/>
    <n v="1300"/>
    <n v="2600"/>
    <x v="0"/>
    <n v="0"/>
    <x v="42"/>
  </r>
  <r>
    <s v="TXN-00059"/>
    <d v="2025-06-29T00:00:00"/>
    <x v="1"/>
    <s v="June"/>
    <x v="2"/>
    <s v="Lahore"/>
    <x v="1"/>
    <s v="Mobiles &amp; Tablets"/>
    <x v="1"/>
    <n v="1"/>
    <n v="22000"/>
    <n v="22000"/>
    <x v="0"/>
    <n v="0"/>
    <x v="57"/>
  </r>
  <r>
    <s v="TXN-00060"/>
    <d v="2023-03-23T00:00:00"/>
    <x v="0"/>
    <s v="March"/>
    <x v="3"/>
    <s v="Islamabad"/>
    <x v="2"/>
    <s v="Dairy"/>
    <x v="49"/>
    <n v="6"/>
    <n v="1100"/>
    <n v="6600"/>
    <x v="0"/>
    <n v="0"/>
    <x v="58"/>
  </r>
  <r>
    <s v="TXN-00061"/>
    <d v="2025-04-29T00:00:00"/>
    <x v="1"/>
    <s v="April"/>
    <x v="3"/>
    <s v="Islamabad"/>
    <x v="3"/>
    <s v="Kitchenware"/>
    <x v="43"/>
    <n v="4"/>
    <n v="300"/>
    <n v="1200"/>
    <x v="0"/>
    <n v="0"/>
    <x v="5"/>
  </r>
  <r>
    <s v="TXN-00062"/>
    <d v="2024-12-25T00:00:00"/>
    <x v="2"/>
    <s v="December"/>
    <x v="3"/>
    <s v="Islamabad"/>
    <x v="6"/>
    <s v="Men's Wear"/>
    <x v="50"/>
    <n v="1"/>
    <n v="5000"/>
    <n v="5000"/>
    <x v="25"/>
    <n v="765"/>
    <x v="59"/>
  </r>
  <r>
    <s v="TXN-00063"/>
    <d v="2025-01-19T00:00:00"/>
    <x v="1"/>
    <s v="January"/>
    <x v="0"/>
    <s v="Hyderabad"/>
    <x v="2"/>
    <s v="Dairy"/>
    <x v="51"/>
    <n v="2"/>
    <n v="220"/>
    <n v="440"/>
    <x v="3"/>
    <n v="11.44"/>
    <x v="60"/>
  </r>
  <r>
    <s v="TXN-00064"/>
    <d v="2025-04-21T00:00:00"/>
    <x v="1"/>
    <s v="April"/>
    <x v="3"/>
    <s v="Islamabad"/>
    <x v="2"/>
    <s v="Fruits"/>
    <x v="52"/>
    <n v="3"/>
    <n v="480"/>
    <n v="1440"/>
    <x v="0"/>
    <n v="0"/>
    <x v="61"/>
  </r>
  <r>
    <s v="TXN-00065"/>
    <d v="2024-12-15T00:00:00"/>
    <x v="2"/>
    <s v="December"/>
    <x v="2"/>
    <s v="Lahore"/>
    <x v="4"/>
    <s v="Cookies"/>
    <x v="53"/>
    <n v="4"/>
    <n v="130"/>
    <n v="520"/>
    <x v="0"/>
    <n v="0"/>
    <x v="62"/>
  </r>
  <r>
    <s v="TXN-00066"/>
    <d v="2023-04-07T00:00:00"/>
    <x v="0"/>
    <s v="April"/>
    <x v="2"/>
    <s v="Lahore"/>
    <x v="5"/>
    <s v="Personal Care"/>
    <x v="32"/>
    <n v="1"/>
    <n v="1650"/>
    <n v="1650"/>
    <x v="7"/>
    <n v="209.55"/>
    <x v="63"/>
  </r>
  <r>
    <s v="TXN-00067"/>
    <d v="2025-06-20T00:00:00"/>
    <x v="1"/>
    <s v="June"/>
    <x v="0"/>
    <s v="Hyderabad"/>
    <x v="5"/>
    <s v="Makeup"/>
    <x v="54"/>
    <n v="1"/>
    <n v="2450"/>
    <n v="2450"/>
    <x v="26"/>
    <n v="200.9"/>
    <x v="64"/>
  </r>
  <r>
    <s v="TXN-00068"/>
    <d v="2023-04-16T00:00:00"/>
    <x v="0"/>
    <s v="April"/>
    <x v="1"/>
    <s v="Karachi"/>
    <x v="1"/>
    <s v="Mobiles &amp; Tablets"/>
    <x v="55"/>
    <n v="1"/>
    <n v="63500"/>
    <n v="63500"/>
    <x v="0"/>
    <n v="0"/>
    <x v="65"/>
  </r>
  <r>
    <s v="TXN-00069"/>
    <d v="2023-05-21T00:00:00"/>
    <x v="0"/>
    <s v="May"/>
    <x v="2"/>
    <s v="Lahore"/>
    <x v="2"/>
    <s v="Vegetables"/>
    <x v="56"/>
    <n v="3"/>
    <n v="450"/>
    <n v="1350"/>
    <x v="27"/>
    <n v="32.4"/>
    <x v="66"/>
  </r>
  <r>
    <s v="TXN-00070"/>
    <d v="2023-10-05T00:00:00"/>
    <x v="0"/>
    <s v="October"/>
    <x v="0"/>
    <s v="Hyderabad"/>
    <x v="6"/>
    <s v="Footwear"/>
    <x v="57"/>
    <n v="1"/>
    <n v="1450"/>
    <n v="1450"/>
    <x v="0"/>
    <n v="0"/>
    <x v="35"/>
  </r>
  <r>
    <s v="TXN-00071"/>
    <d v="2025-07-19T00:00:00"/>
    <x v="1"/>
    <s v="July"/>
    <x v="0"/>
    <s v="Hyderabad"/>
    <x v="3"/>
    <s v="Laundry"/>
    <x v="3"/>
    <n v="5"/>
    <n v="1700"/>
    <n v="8500"/>
    <x v="0"/>
    <n v="0"/>
    <x v="67"/>
  </r>
  <r>
    <s v="TXN-00072"/>
    <d v="2025-10-07T00:00:00"/>
    <x v="1"/>
    <s v="October"/>
    <x v="3"/>
    <s v="Islamabad"/>
    <x v="3"/>
    <s v="Laundry"/>
    <x v="3"/>
    <n v="1"/>
    <n v="2400"/>
    <n v="2400"/>
    <x v="0"/>
    <n v="0"/>
    <x v="68"/>
  </r>
  <r>
    <s v="TXN-00073"/>
    <d v="2025-02-20T00:00:00"/>
    <x v="1"/>
    <s v="February"/>
    <x v="2"/>
    <s v="Lahore"/>
    <x v="1"/>
    <s v="Mobiles &amp; Tablets"/>
    <x v="55"/>
    <n v="1"/>
    <n v="18000"/>
    <n v="18000"/>
    <x v="0"/>
    <n v="0"/>
    <x v="69"/>
  </r>
  <r>
    <s v="TXN-00074"/>
    <d v="2025-04-07T00:00:00"/>
    <x v="1"/>
    <s v="April"/>
    <x v="1"/>
    <s v="Karachi"/>
    <x v="7"/>
    <s v="Plush Toys"/>
    <x v="58"/>
    <n v="1"/>
    <n v="470"/>
    <n v="470"/>
    <x v="28"/>
    <n v="42.769999999999996"/>
    <x v="70"/>
  </r>
  <r>
    <s v="TXN-00075"/>
    <d v="2023-01-03T00:00:00"/>
    <x v="0"/>
    <s v="January"/>
    <x v="0"/>
    <s v="Hyderabad"/>
    <x v="5"/>
    <s v="Makeup"/>
    <x v="59"/>
    <n v="1"/>
    <n v="400"/>
    <n v="400"/>
    <x v="0"/>
    <n v="0"/>
    <x v="71"/>
  </r>
  <r>
    <s v="TXN-00076"/>
    <d v="2024-10-02T00:00:00"/>
    <x v="2"/>
    <s v="October"/>
    <x v="3"/>
    <s v="Islamabad"/>
    <x v="0"/>
    <s v="Lentils &amp; Beans"/>
    <x v="60"/>
    <n v="1"/>
    <n v="2300"/>
    <n v="2300"/>
    <x v="0"/>
    <n v="0"/>
    <x v="52"/>
  </r>
  <r>
    <s v="TXN-00077"/>
    <d v="2024-09-12T00:00:00"/>
    <x v="2"/>
    <s v="September"/>
    <x v="2"/>
    <s v="Lahore"/>
    <x v="7"/>
    <s v="Board Games"/>
    <x v="61"/>
    <n v="1"/>
    <n v="3600"/>
    <n v="3600"/>
    <x v="0"/>
    <n v="0"/>
    <x v="72"/>
  </r>
  <r>
    <s v="TXN-00078"/>
    <d v="2024-08-17T00:00:00"/>
    <x v="2"/>
    <s v="August"/>
    <x v="1"/>
    <s v="Karachi"/>
    <x v="1"/>
    <s v="Audio &amp; Accessories"/>
    <x v="62"/>
    <n v="1"/>
    <n v="58000"/>
    <n v="58000"/>
    <x v="29"/>
    <n v="6322"/>
    <x v="73"/>
  </r>
  <r>
    <s v="TXN-00079"/>
    <d v="2024-01-04T00:00:00"/>
    <x v="2"/>
    <s v="January"/>
    <x v="0"/>
    <s v="Hyderabad"/>
    <x v="2"/>
    <s v="Fruits"/>
    <x v="28"/>
    <n v="2"/>
    <n v="350"/>
    <n v="700"/>
    <x v="11"/>
    <n v="23.8"/>
    <x v="74"/>
  </r>
  <r>
    <s v="TXN-00080"/>
    <d v="2024-12-27T00:00:00"/>
    <x v="2"/>
    <s v="December"/>
    <x v="1"/>
    <s v="Karachi"/>
    <x v="4"/>
    <s v="Cookies"/>
    <x v="63"/>
    <n v="1"/>
    <n v="1500"/>
    <n v="1500"/>
    <x v="0"/>
    <n v="0"/>
    <x v="75"/>
  </r>
  <r>
    <s v="TXN-00081"/>
    <d v="2023-05-09T00:00:00"/>
    <x v="0"/>
    <s v="May"/>
    <x v="3"/>
    <s v="Islamabad"/>
    <x v="2"/>
    <s v="Fruits"/>
    <x v="28"/>
    <n v="8"/>
    <n v="1150"/>
    <n v="9200"/>
    <x v="0"/>
    <n v="0"/>
    <x v="76"/>
  </r>
  <r>
    <s v="TXN-00082"/>
    <d v="2023-10-19T00:00:00"/>
    <x v="0"/>
    <s v="October"/>
    <x v="1"/>
    <s v="Karachi"/>
    <x v="3"/>
    <s v="Kitchenware"/>
    <x v="5"/>
    <n v="1"/>
    <n v="370"/>
    <n v="370"/>
    <x v="0"/>
    <n v="0"/>
    <x v="30"/>
  </r>
  <r>
    <s v="TXN-00083"/>
    <d v="2023-01-07T00:00:00"/>
    <x v="0"/>
    <s v="January"/>
    <x v="1"/>
    <s v="Karachi"/>
    <x v="0"/>
    <s v="Rice &amp; Grains"/>
    <x v="64"/>
    <n v="3"/>
    <n v="380"/>
    <n v="1140"/>
    <x v="0"/>
    <n v="0"/>
    <x v="77"/>
  </r>
  <r>
    <s v="TXN-00084"/>
    <d v="2025-06-02T00:00:00"/>
    <x v="1"/>
    <s v="June"/>
    <x v="2"/>
    <s v="Lahore"/>
    <x v="4"/>
    <s v="Cakes &amp; Pastries"/>
    <x v="65"/>
    <n v="1"/>
    <n v="950"/>
    <n v="950"/>
    <x v="0"/>
    <n v="0"/>
    <x v="78"/>
  </r>
  <r>
    <s v="TXN-00085"/>
    <d v="2023-02-19T00:00:00"/>
    <x v="0"/>
    <s v="February"/>
    <x v="3"/>
    <s v="Islamabad"/>
    <x v="6"/>
    <s v="Footwear"/>
    <x v="57"/>
    <n v="1"/>
    <n v="2850"/>
    <n v="2850"/>
    <x v="0"/>
    <n v="0"/>
    <x v="79"/>
  </r>
  <r>
    <s v="TXN-00086"/>
    <d v="2023-08-02T00:00:00"/>
    <x v="0"/>
    <s v="August"/>
    <x v="0"/>
    <s v="Hyderabad"/>
    <x v="0"/>
    <s v="Rice &amp; Grains"/>
    <x v="36"/>
    <n v="5"/>
    <n v="900"/>
    <n v="4500"/>
    <x v="30"/>
    <n v="216"/>
    <x v="80"/>
  </r>
  <r>
    <s v="TXN-00087"/>
    <d v="2025-06-17T00:00:00"/>
    <x v="1"/>
    <s v="June"/>
    <x v="3"/>
    <s v="Islamabad"/>
    <x v="6"/>
    <s v="Women's Wear"/>
    <x v="38"/>
    <n v="3"/>
    <n v="6500"/>
    <n v="19500"/>
    <x v="0"/>
    <n v="0"/>
    <x v="81"/>
  </r>
  <r>
    <s v="TXN-00088"/>
    <d v="2025-03-25T00:00:00"/>
    <x v="1"/>
    <s v="March"/>
    <x v="2"/>
    <s v="Lahore"/>
    <x v="1"/>
    <s v="Small Appliances"/>
    <x v="66"/>
    <n v="2"/>
    <n v="36500"/>
    <n v="73000"/>
    <x v="0"/>
    <n v="0"/>
    <x v="82"/>
  </r>
  <r>
    <s v="TXN-00089"/>
    <d v="2025-07-01T00:00:00"/>
    <x v="1"/>
    <s v="July"/>
    <x v="2"/>
    <s v="Lahore"/>
    <x v="2"/>
    <s v="Vegetables"/>
    <x v="2"/>
    <n v="2"/>
    <n v="850"/>
    <n v="1700"/>
    <x v="0"/>
    <n v="0"/>
    <x v="83"/>
  </r>
  <r>
    <s v="TXN-00090"/>
    <d v="2025-03-29T00:00:00"/>
    <x v="1"/>
    <s v="March"/>
    <x v="2"/>
    <s v="Lahore"/>
    <x v="4"/>
    <s v="Breads"/>
    <x v="67"/>
    <n v="1"/>
    <n v="950"/>
    <n v="950"/>
    <x v="0"/>
    <n v="0"/>
    <x v="78"/>
  </r>
  <r>
    <s v="TXN-00091"/>
    <d v="2023-10-23T00:00:00"/>
    <x v="0"/>
    <s v="October"/>
    <x v="1"/>
    <s v="Karachi"/>
    <x v="7"/>
    <s v="Plush Toys"/>
    <x v="11"/>
    <n v="1"/>
    <n v="1050"/>
    <n v="1050"/>
    <x v="31"/>
    <n v="315"/>
    <x v="84"/>
  </r>
  <r>
    <s v="TXN-00092"/>
    <d v="2024-10-01T00:00:00"/>
    <x v="2"/>
    <s v="October"/>
    <x v="0"/>
    <s v="Hyderabad"/>
    <x v="1"/>
    <s v="Small Appliances"/>
    <x v="68"/>
    <n v="2"/>
    <n v="81500"/>
    <n v="163000"/>
    <x v="0"/>
    <n v="0"/>
    <x v="85"/>
  </r>
  <r>
    <s v="TXN-00093"/>
    <d v="2024-12-18T00:00:00"/>
    <x v="2"/>
    <s v="December"/>
    <x v="2"/>
    <s v="Lahore"/>
    <x v="1"/>
    <s v="Mobiles &amp; Tablets"/>
    <x v="69"/>
    <n v="1"/>
    <n v="55500"/>
    <n v="55500"/>
    <x v="0"/>
    <n v="0"/>
    <x v="86"/>
  </r>
  <r>
    <s v="TXN-00094"/>
    <d v="2023-06-06T00:00:00"/>
    <x v="0"/>
    <s v="June"/>
    <x v="0"/>
    <s v="Hyderabad"/>
    <x v="4"/>
    <s v="Cakes &amp; Pastries"/>
    <x v="70"/>
    <n v="1"/>
    <n v="270"/>
    <n v="270"/>
    <x v="0"/>
    <n v="0"/>
    <x v="87"/>
  </r>
  <r>
    <s v="TXN-00095"/>
    <d v="2023-03-15T00:00:00"/>
    <x v="0"/>
    <s v="March"/>
    <x v="2"/>
    <s v="Lahore"/>
    <x v="2"/>
    <s v="Fruits"/>
    <x v="52"/>
    <n v="2"/>
    <n v="550"/>
    <n v="1100"/>
    <x v="32"/>
    <n v="47.3"/>
    <x v="88"/>
  </r>
  <r>
    <s v="TXN-00096"/>
    <d v="2025-09-15T00:00:00"/>
    <x v="1"/>
    <s v="September"/>
    <x v="1"/>
    <s v="Karachi"/>
    <x v="0"/>
    <s v="Rice &amp; Grains"/>
    <x v="71"/>
    <n v="3"/>
    <n v="1250"/>
    <n v="3750"/>
    <x v="0"/>
    <n v="0"/>
    <x v="89"/>
  </r>
  <r>
    <s v="TXN-00097"/>
    <d v="2023-10-06T00:00:00"/>
    <x v="0"/>
    <s v="October"/>
    <x v="1"/>
    <s v="Karachi"/>
    <x v="4"/>
    <s v="Cookies"/>
    <x v="4"/>
    <n v="10"/>
    <n v="450"/>
    <n v="4500"/>
    <x v="0"/>
    <n v="0"/>
    <x v="90"/>
  </r>
  <r>
    <s v="TXN-00098"/>
    <d v="2025-12-22T00:00:00"/>
    <x v="1"/>
    <s v="December"/>
    <x v="0"/>
    <s v="Hyderabad"/>
    <x v="5"/>
    <s v="Personal Care"/>
    <x v="72"/>
    <n v="2"/>
    <n v="2300"/>
    <n v="4600"/>
    <x v="0"/>
    <n v="0"/>
    <x v="91"/>
  </r>
  <r>
    <s v="TXN-00099"/>
    <d v="2024-03-03T00:00:00"/>
    <x v="2"/>
    <s v="March"/>
    <x v="3"/>
    <s v="Islamabad"/>
    <x v="0"/>
    <s v="Spices"/>
    <x v="34"/>
    <n v="2"/>
    <n v="2400"/>
    <n v="4800"/>
    <x v="0"/>
    <n v="0"/>
    <x v="37"/>
  </r>
  <r>
    <s v="TXN-00100"/>
    <d v="2023-04-25T00:00:00"/>
    <x v="0"/>
    <s v="April"/>
    <x v="0"/>
    <s v="Hyderabad"/>
    <x v="0"/>
    <s v="Packaged Foods"/>
    <x v="73"/>
    <n v="2"/>
    <n v="1450"/>
    <n v="2900"/>
    <x v="33"/>
    <n v="40.6"/>
    <x v="92"/>
  </r>
  <r>
    <s v="TXN-00101"/>
    <d v="2023-08-04T00:00:00"/>
    <x v="0"/>
    <s v="August"/>
    <x v="0"/>
    <s v="Hyderabad"/>
    <x v="0"/>
    <s v="Beverages"/>
    <x v="74"/>
    <n v="2"/>
    <n v="1350"/>
    <n v="2700"/>
    <x v="16"/>
    <n v="45.900000000000006"/>
    <x v="93"/>
  </r>
  <r>
    <s v="TXN-00102"/>
    <d v="2025-04-11T00:00:00"/>
    <x v="1"/>
    <s v="April"/>
    <x v="2"/>
    <s v="Lahore"/>
    <x v="4"/>
    <s v="Breads"/>
    <x v="67"/>
    <n v="4"/>
    <n v="400"/>
    <n v="1600"/>
    <x v="34"/>
    <n v="120"/>
    <x v="94"/>
  </r>
  <r>
    <s v="TXN-00103"/>
    <d v="2023-03-06T00:00:00"/>
    <x v="0"/>
    <s v="March"/>
    <x v="1"/>
    <s v="Karachi"/>
    <x v="6"/>
    <s v="Men's Wear"/>
    <x v="50"/>
    <n v="2"/>
    <n v="2150"/>
    <n v="4300"/>
    <x v="0"/>
    <n v="0"/>
    <x v="95"/>
  </r>
  <r>
    <s v="TXN-00104"/>
    <d v="2025-06-26T00:00:00"/>
    <x v="1"/>
    <s v="June"/>
    <x v="0"/>
    <s v="Hyderabad"/>
    <x v="4"/>
    <s v="Savoury"/>
    <x v="48"/>
    <n v="2"/>
    <n v="550"/>
    <n v="1100"/>
    <x v="0"/>
    <n v="0"/>
    <x v="96"/>
  </r>
  <r>
    <s v="TXN-00105"/>
    <d v="2025-07-31T00:00:00"/>
    <x v="1"/>
    <s v="July"/>
    <x v="3"/>
    <s v="Islamabad"/>
    <x v="7"/>
    <s v="Action Figures"/>
    <x v="75"/>
    <n v="1"/>
    <n v="1550"/>
    <n v="1550"/>
    <x v="0"/>
    <n v="0"/>
    <x v="41"/>
  </r>
  <r>
    <s v="TXN-00106"/>
    <d v="2024-04-05T00:00:00"/>
    <x v="2"/>
    <s v="April"/>
    <x v="2"/>
    <s v="Lahore"/>
    <x v="2"/>
    <s v="Vegetables"/>
    <x v="76"/>
    <n v="6"/>
    <n v="1200"/>
    <n v="7200"/>
    <x v="17"/>
    <n v="352.8"/>
    <x v="97"/>
  </r>
  <r>
    <s v="TXN-00107"/>
    <d v="2023-11-24T00:00:00"/>
    <x v="0"/>
    <s v="November"/>
    <x v="1"/>
    <s v="Karachi"/>
    <x v="6"/>
    <s v="Kids Wear"/>
    <x v="41"/>
    <n v="2"/>
    <n v="3800"/>
    <n v="7600"/>
    <x v="0"/>
    <n v="0"/>
    <x v="98"/>
  </r>
  <r>
    <s v="TXN-00108"/>
    <d v="2024-10-16T00:00:00"/>
    <x v="2"/>
    <s v="October"/>
    <x v="0"/>
    <s v="Hyderabad"/>
    <x v="2"/>
    <s v="Meat &amp; Poultry"/>
    <x v="15"/>
    <n v="1"/>
    <n v="900"/>
    <n v="900"/>
    <x v="0"/>
    <n v="0"/>
    <x v="99"/>
  </r>
  <r>
    <s v="TXN-00109"/>
    <d v="2024-05-13T00:00:00"/>
    <x v="2"/>
    <s v="May"/>
    <x v="3"/>
    <s v="Islamabad"/>
    <x v="7"/>
    <s v="Action Figures"/>
    <x v="75"/>
    <n v="1"/>
    <n v="4300"/>
    <n v="4300"/>
    <x v="0"/>
    <n v="0"/>
    <x v="95"/>
  </r>
  <r>
    <s v="TXN-00110"/>
    <d v="2024-10-31T00:00:00"/>
    <x v="2"/>
    <s v="October"/>
    <x v="2"/>
    <s v="Lahore"/>
    <x v="0"/>
    <s v="Rice &amp; Grains"/>
    <x v="71"/>
    <n v="6"/>
    <n v="1050"/>
    <n v="6300"/>
    <x v="0"/>
    <n v="0"/>
    <x v="100"/>
  </r>
  <r>
    <s v="TXN-00111"/>
    <d v="2025-08-03T00:00:00"/>
    <x v="1"/>
    <s v="August"/>
    <x v="1"/>
    <s v="Karachi"/>
    <x v="0"/>
    <s v="Rice &amp; Grains"/>
    <x v="64"/>
    <n v="1"/>
    <n v="1650"/>
    <n v="1650"/>
    <x v="0"/>
    <n v="0"/>
    <x v="101"/>
  </r>
  <r>
    <s v="TXN-00112"/>
    <d v="2023-01-09T00:00:00"/>
    <x v="0"/>
    <s v="January"/>
    <x v="2"/>
    <s v="Lahore"/>
    <x v="2"/>
    <s v="Fruits"/>
    <x v="77"/>
    <n v="4"/>
    <n v="300"/>
    <n v="1200"/>
    <x v="0"/>
    <n v="0"/>
    <x v="5"/>
  </r>
  <r>
    <s v="TXN-00113"/>
    <d v="2025-12-20T00:00:00"/>
    <x v="1"/>
    <s v="December"/>
    <x v="2"/>
    <s v="Lahore"/>
    <x v="2"/>
    <s v="Fruits"/>
    <x v="78"/>
    <n v="1"/>
    <n v="550"/>
    <n v="550"/>
    <x v="0"/>
    <n v="0"/>
    <x v="102"/>
  </r>
  <r>
    <s v="TXN-00114"/>
    <d v="2024-02-04T00:00:00"/>
    <x v="2"/>
    <s v="February"/>
    <x v="2"/>
    <s v="Lahore"/>
    <x v="5"/>
    <s v="Skincare"/>
    <x v="79"/>
    <n v="2"/>
    <n v="3700"/>
    <n v="7400"/>
    <x v="35"/>
    <n v="540.19999999999993"/>
    <x v="103"/>
  </r>
  <r>
    <s v="TXN-00115"/>
    <d v="2024-09-21T00:00:00"/>
    <x v="2"/>
    <s v="September"/>
    <x v="1"/>
    <s v="Karachi"/>
    <x v="3"/>
    <s v="Kitchenware"/>
    <x v="43"/>
    <n v="1"/>
    <n v="420"/>
    <n v="420"/>
    <x v="36"/>
    <n v="21"/>
    <x v="104"/>
  </r>
  <r>
    <s v="TXN-00116"/>
    <d v="2024-11-20T00:00:00"/>
    <x v="2"/>
    <s v="November"/>
    <x v="3"/>
    <s v="Islamabad"/>
    <x v="0"/>
    <s v="Cooking Oil"/>
    <x v="80"/>
    <n v="1"/>
    <n v="1950"/>
    <n v="1950"/>
    <x v="0"/>
    <n v="0"/>
    <x v="105"/>
  </r>
  <r>
    <s v="TXN-00117"/>
    <d v="2023-11-11T00:00:00"/>
    <x v="0"/>
    <s v="November"/>
    <x v="2"/>
    <s v="Lahore"/>
    <x v="6"/>
    <s v="Women's Wear"/>
    <x v="16"/>
    <n v="1"/>
    <n v="2800"/>
    <n v="2800"/>
    <x v="0"/>
    <n v="0"/>
    <x v="2"/>
  </r>
  <r>
    <s v="TXN-00118"/>
    <d v="2024-11-10T00:00:00"/>
    <x v="2"/>
    <s v="November"/>
    <x v="3"/>
    <s v="Islamabad"/>
    <x v="2"/>
    <s v="Fruits"/>
    <x v="78"/>
    <n v="2"/>
    <n v="90"/>
    <n v="180"/>
    <x v="37"/>
    <n v="1.6199999999999999"/>
    <x v="106"/>
  </r>
  <r>
    <s v="TXN-00119"/>
    <d v="2025-03-12T00:00:00"/>
    <x v="1"/>
    <s v="March"/>
    <x v="2"/>
    <s v="Lahore"/>
    <x v="2"/>
    <s v="Vegetables"/>
    <x v="81"/>
    <n v="3"/>
    <n v="1000"/>
    <n v="3000"/>
    <x v="0"/>
    <n v="0"/>
    <x v="0"/>
  </r>
  <r>
    <s v="TXN-00120"/>
    <d v="2024-01-18T00:00:00"/>
    <x v="2"/>
    <s v="January"/>
    <x v="0"/>
    <s v="Hyderabad"/>
    <x v="0"/>
    <s v="Spices"/>
    <x v="82"/>
    <n v="4"/>
    <n v="1800"/>
    <n v="7200"/>
    <x v="38"/>
    <n v="280.8"/>
    <x v="107"/>
  </r>
  <r>
    <s v="TXN-00121"/>
    <d v="2024-10-03T00:00:00"/>
    <x v="2"/>
    <s v="October"/>
    <x v="2"/>
    <s v="Lahore"/>
    <x v="1"/>
    <s v="Audio &amp; Accessories"/>
    <x v="24"/>
    <n v="1"/>
    <n v="29000"/>
    <n v="29000"/>
    <x v="39"/>
    <n v="3944.0000000000005"/>
    <x v="108"/>
  </r>
  <r>
    <s v="TXN-00122"/>
    <d v="2024-02-06T00:00:00"/>
    <x v="2"/>
    <s v="February"/>
    <x v="1"/>
    <s v="Karachi"/>
    <x v="0"/>
    <s v="Packaged Foods"/>
    <x v="10"/>
    <n v="1"/>
    <n v="800"/>
    <n v="800"/>
    <x v="0"/>
    <n v="0"/>
    <x v="109"/>
  </r>
  <r>
    <s v="TXN-00123"/>
    <d v="2025-10-02T00:00:00"/>
    <x v="1"/>
    <s v="October"/>
    <x v="1"/>
    <s v="Karachi"/>
    <x v="2"/>
    <s v="Dairy"/>
    <x v="49"/>
    <n v="1"/>
    <n v="220"/>
    <n v="220"/>
    <x v="0"/>
    <n v="0"/>
    <x v="110"/>
  </r>
  <r>
    <s v="TXN-00124"/>
    <d v="2023-03-07T00:00:00"/>
    <x v="0"/>
    <s v="March"/>
    <x v="3"/>
    <s v="Islamabad"/>
    <x v="0"/>
    <s v="Spices"/>
    <x v="83"/>
    <n v="5"/>
    <n v="1950"/>
    <n v="9750"/>
    <x v="40"/>
    <n v="224.25"/>
    <x v="111"/>
  </r>
  <r>
    <s v="TXN-00125"/>
    <d v="2024-11-13T00:00:00"/>
    <x v="2"/>
    <s v="November"/>
    <x v="0"/>
    <s v="Hyderabad"/>
    <x v="5"/>
    <s v="Fragrances"/>
    <x v="84"/>
    <n v="1"/>
    <n v="330"/>
    <n v="330"/>
    <x v="0"/>
    <n v="0"/>
    <x v="112"/>
  </r>
  <r>
    <s v="TXN-00126"/>
    <d v="2023-12-01T00:00:00"/>
    <x v="0"/>
    <s v="December"/>
    <x v="0"/>
    <s v="Hyderabad"/>
    <x v="1"/>
    <s v="Audio &amp; Accessories"/>
    <x v="62"/>
    <n v="1"/>
    <n v="60500"/>
    <n v="60500"/>
    <x v="41"/>
    <n v="5263.5"/>
    <x v="113"/>
  </r>
  <r>
    <s v="TXN-00127"/>
    <d v="2024-02-01T00:00:00"/>
    <x v="2"/>
    <s v="February"/>
    <x v="1"/>
    <s v="Karachi"/>
    <x v="3"/>
    <s v="Cleaning Supplies"/>
    <x v="85"/>
    <n v="1"/>
    <n v="2150"/>
    <n v="2150"/>
    <x v="0"/>
    <n v="0"/>
    <x v="114"/>
  </r>
  <r>
    <s v="TXN-00128"/>
    <d v="2024-10-27T00:00:00"/>
    <x v="2"/>
    <s v="October"/>
    <x v="0"/>
    <s v="Hyderabad"/>
    <x v="4"/>
    <s v="Cookies"/>
    <x v="53"/>
    <n v="8"/>
    <n v="1100"/>
    <n v="8800"/>
    <x v="0"/>
    <n v="0"/>
    <x v="4"/>
  </r>
  <r>
    <s v="TXN-00129"/>
    <d v="2024-02-09T00:00:00"/>
    <x v="2"/>
    <s v="February"/>
    <x v="1"/>
    <s v="Karachi"/>
    <x v="2"/>
    <s v="Vegetables"/>
    <x v="86"/>
    <n v="1"/>
    <n v="390"/>
    <n v="390"/>
    <x v="0"/>
    <n v="0"/>
    <x v="115"/>
  </r>
  <r>
    <s v="TXN-00130"/>
    <d v="2025-12-07T00:00:00"/>
    <x v="1"/>
    <s v="December"/>
    <x v="3"/>
    <s v="Islamabad"/>
    <x v="2"/>
    <s v="Dairy"/>
    <x v="46"/>
    <n v="5"/>
    <n v="480"/>
    <n v="2400"/>
    <x v="42"/>
    <n v="7.2"/>
    <x v="116"/>
  </r>
  <r>
    <s v="TXN-00131"/>
    <d v="2024-08-04T00:00:00"/>
    <x v="2"/>
    <s v="August"/>
    <x v="1"/>
    <s v="Karachi"/>
    <x v="0"/>
    <s v="Lentils &amp; Beans"/>
    <x v="33"/>
    <n v="5"/>
    <n v="1950"/>
    <n v="9750"/>
    <x v="43"/>
    <n v="204.75"/>
    <x v="117"/>
  </r>
  <r>
    <s v="TXN-00132"/>
    <d v="2025-10-18T00:00:00"/>
    <x v="1"/>
    <s v="October"/>
    <x v="3"/>
    <s v="Islamabad"/>
    <x v="3"/>
    <s v="Laundry"/>
    <x v="3"/>
    <n v="2"/>
    <n v="1250"/>
    <n v="2500"/>
    <x v="0"/>
    <n v="0"/>
    <x v="118"/>
  </r>
  <r>
    <s v="TXN-00133"/>
    <d v="2025-04-14T00:00:00"/>
    <x v="1"/>
    <s v="April"/>
    <x v="2"/>
    <s v="Lahore"/>
    <x v="4"/>
    <s v="Cakes &amp; Pastries"/>
    <x v="87"/>
    <n v="1"/>
    <n v="1700"/>
    <n v="1700"/>
    <x v="0"/>
    <n v="0"/>
    <x v="83"/>
  </r>
  <r>
    <s v="TXN-00134"/>
    <d v="2023-06-26T00:00:00"/>
    <x v="0"/>
    <s v="June"/>
    <x v="3"/>
    <s v="Islamabad"/>
    <x v="4"/>
    <s v="Cakes &amp; Pastries"/>
    <x v="70"/>
    <n v="4"/>
    <n v="1350"/>
    <n v="5400"/>
    <x v="0"/>
    <n v="0"/>
    <x v="119"/>
  </r>
  <r>
    <s v="TXN-00135"/>
    <d v="2024-10-01T00:00:00"/>
    <x v="2"/>
    <s v="October"/>
    <x v="3"/>
    <s v="Islamabad"/>
    <x v="7"/>
    <s v="Board Games"/>
    <x v="88"/>
    <n v="2"/>
    <n v="600"/>
    <n v="1200"/>
    <x v="44"/>
    <n v="348"/>
    <x v="120"/>
  </r>
  <r>
    <s v="TXN-00136"/>
    <d v="2023-11-18T00:00:00"/>
    <x v="0"/>
    <s v="November"/>
    <x v="2"/>
    <s v="Lahore"/>
    <x v="2"/>
    <s v="Vegetables"/>
    <x v="86"/>
    <n v="6"/>
    <n v="460"/>
    <n v="2760"/>
    <x v="45"/>
    <n v="104.88"/>
    <x v="121"/>
  </r>
  <r>
    <s v="TXN-00137"/>
    <d v="2023-01-12T00:00:00"/>
    <x v="0"/>
    <s v="January"/>
    <x v="1"/>
    <s v="Karachi"/>
    <x v="6"/>
    <s v="Men's Wear"/>
    <x v="35"/>
    <n v="2"/>
    <n v="4650"/>
    <n v="9300"/>
    <x v="0"/>
    <n v="0"/>
    <x v="8"/>
  </r>
  <r>
    <s v="TXN-00138"/>
    <d v="2024-08-31T00:00:00"/>
    <x v="2"/>
    <s v="August"/>
    <x v="3"/>
    <s v="Islamabad"/>
    <x v="7"/>
    <s v="Plush Toys"/>
    <x v="11"/>
    <n v="1"/>
    <n v="2000"/>
    <n v="2000"/>
    <x v="46"/>
    <n v="334"/>
    <x v="122"/>
  </r>
  <r>
    <s v="TXN-00139"/>
    <d v="2024-05-04T00:00:00"/>
    <x v="2"/>
    <s v="May"/>
    <x v="3"/>
    <s v="Islamabad"/>
    <x v="6"/>
    <s v="Footwear"/>
    <x v="89"/>
    <n v="1"/>
    <n v="1650"/>
    <n v="1650"/>
    <x v="0"/>
    <n v="0"/>
    <x v="101"/>
  </r>
  <r>
    <s v="TXN-00140"/>
    <d v="2025-09-15T00:00:00"/>
    <x v="1"/>
    <s v="September"/>
    <x v="2"/>
    <s v="Lahore"/>
    <x v="4"/>
    <s v="Cookies"/>
    <x v="90"/>
    <n v="2"/>
    <n v="1450"/>
    <n v="2900"/>
    <x v="0"/>
    <n v="0"/>
    <x v="123"/>
  </r>
  <r>
    <s v="TXN-00141"/>
    <d v="2023-01-14T00:00:00"/>
    <x v="0"/>
    <s v="January"/>
    <x v="0"/>
    <s v="Hyderabad"/>
    <x v="7"/>
    <s v="Plush Toys"/>
    <x v="91"/>
    <n v="1"/>
    <n v="1800"/>
    <n v="1800"/>
    <x v="0"/>
    <n v="0"/>
    <x v="124"/>
  </r>
  <r>
    <s v="TXN-00142"/>
    <d v="2024-03-31T00:00:00"/>
    <x v="2"/>
    <s v="March"/>
    <x v="2"/>
    <s v="Lahore"/>
    <x v="2"/>
    <s v="Vegetables"/>
    <x v="81"/>
    <n v="3"/>
    <n v="100"/>
    <n v="300"/>
    <x v="47"/>
    <n v="4.5"/>
    <x v="125"/>
  </r>
  <r>
    <s v="TXN-00143"/>
    <d v="2024-10-28T00:00:00"/>
    <x v="2"/>
    <s v="October"/>
    <x v="2"/>
    <s v="Lahore"/>
    <x v="6"/>
    <s v="Women's Wear"/>
    <x v="7"/>
    <n v="1"/>
    <n v="6000"/>
    <n v="6000"/>
    <x v="0"/>
    <n v="0"/>
    <x v="38"/>
  </r>
  <r>
    <s v="TXN-00144"/>
    <d v="2023-04-21T00:00:00"/>
    <x v="0"/>
    <s v="April"/>
    <x v="2"/>
    <s v="Lahore"/>
    <x v="1"/>
    <s v="Audio &amp; Accessories"/>
    <x v="92"/>
    <n v="1"/>
    <n v="60000"/>
    <n v="60000"/>
    <x v="0"/>
    <n v="0"/>
    <x v="126"/>
  </r>
  <r>
    <s v="TXN-00145"/>
    <d v="2025-02-19T00:00:00"/>
    <x v="1"/>
    <s v="February"/>
    <x v="3"/>
    <s v="Islamabad"/>
    <x v="0"/>
    <s v="Packaged Foods"/>
    <x v="93"/>
    <n v="6"/>
    <n v="1800"/>
    <n v="10800"/>
    <x v="48"/>
    <n v="291.60000000000002"/>
    <x v="127"/>
  </r>
  <r>
    <s v="TXN-00146"/>
    <d v="2023-06-02T00:00:00"/>
    <x v="0"/>
    <s v="June"/>
    <x v="3"/>
    <s v="Islamabad"/>
    <x v="7"/>
    <s v="Action Figures"/>
    <x v="94"/>
    <n v="1"/>
    <n v="340"/>
    <n v="340"/>
    <x v="49"/>
    <n v="69.02000000000001"/>
    <x v="128"/>
  </r>
  <r>
    <s v="TXN-00147"/>
    <d v="2025-11-24T00:00:00"/>
    <x v="1"/>
    <s v="November"/>
    <x v="1"/>
    <s v="Karachi"/>
    <x v="6"/>
    <s v="Kids Wear"/>
    <x v="30"/>
    <n v="1"/>
    <n v="3700"/>
    <n v="3700"/>
    <x v="0"/>
    <n v="0"/>
    <x v="129"/>
  </r>
  <r>
    <s v="TXN-00148"/>
    <d v="2023-02-24T00:00:00"/>
    <x v="0"/>
    <s v="February"/>
    <x v="2"/>
    <s v="Lahore"/>
    <x v="4"/>
    <s v="Cakes &amp; Pastries"/>
    <x v="95"/>
    <n v="1"/>
    <n v="1050"/>
    <n v="1050"/>
    <x v="0"/>
    <n v="0"/>
    <x v="130"/>
  </r>
  <r>
    <s v="TXN-00149"/>
    <d v="2023-06-05T00:00:00"/>
    <x v="0"/>
    <s v="June"/>
    <x v="1"/>
    <s v="Karachi"/>
    <x v="5"/>
    <s v="Personal Care"/>
    <x v="96"/>
    <n v="1"/>
    <n v="1850"/>
    <n v="1850"/>
    <x v="50"/>
    <n v="266.39999999999998"/>
    <x v="131"/>
  </r>
  <r>
    <s v="TXN-00150"/>
    <d v="2023-02-14T00:00:00"/>
    <x v="0"/>
    <s v="February"/>
    <x v="1"/>
    <s v="Karachi"/>
    <x v="0"/>
    <s v="Beverages"/>
    <x v="27"/>
    <n v="1"/>
    <n v="410"/>
    <n v="410"/>
    <x v="0"/>
    <n v="0"/>
    <x v="132"/>
  </r>
  <r>
    <s v="TXN-00151"/>
    <d v="2024-07-26T00:00:00"/>
    <x v="2"/>
    <s v="July"/>
    <x v="2"/>
    <s v="Lahore"/>
    <x v="3"/>
    <s v="Cleaning Supplies"/>
    <x v="97"/>
    <n v="1"/>
    <n v="4000"/>
    <n v="4000"/>
    <x v="0"/>
    <n v="0"/>
    <x v="133"/>
  </r>
  <r>
    <s v="TXN-00152"/>
    <d v="2025-01-07T00:00:00"/>
    <x v="1"/>
    <s v="January"/>
    <x v="1"/>
    <s v="Karachi"/>
    <x v="4"/>
    <s v="Cookies"/>
    <x v="90"/>
    <n v="5"/>
    <n v="750"/>
    <n v="3750"/>
    <x v="0"/>
    <n v="0"/>
    <x v="89"/>
  </r>
  <r>
    <s v="TXN-00153"/>
    <d v="2023-07-18T00:00:00"/>
    <x v="0"/>
    <s v="July"/>
    <x v="0"/>
    <s v="Hyderabad"/>
    <x v="3"/>
    <s v="Laundry"/>
    <x v="17"/>
    <n v="1"/>
    <n v="2900"/>
    <n v="2900"/>
    <x v="0"/>
    <n v="0"/>
    <x v="123"/>
  </r>
  <r>
    <s v="TXN-00154"/>
    <d v="2025-02-01T00:00:00"/>
    <x v="1"/>
    <s v="February"/>
    <x v="2"/>
    <s v="Lahore"/>
    <x v="6"/>
    <s v="Men's Wear"/>
    <x v="35"/>
    <n v="1"/>
    <n v="6000"/>
    <n v="6000"/>
    <x v="51"/>
    <n v="444"/>
    <x v="134"/>
  </r>
  <r>
    <s v="TXN-00155"/>
    <d v="2024-08-04T00:00:00"/>
    <x v="2"/>
    <s v="August"/>
    <x v="3"/>
    <s v="Islamabad"/>
    <x v="1"/>
    <s v="Audio &amp; Accessories"/>
    <x v="98"/>
    <n v="2"/>
    <n v="10000"/>
    <n v="20000"/>
    <x v="52"/>
    <n v="1140"/>
    <x v="135"/>
  </r>
  <r>
    <s v="TXN-00156"/>
    <d v="2024-02-29T00:00:00"/>
    <x v="2"/>
    <s v="February"/>
    <x v="3"/>
    <s v="Islamabad"/>
    <x v="1"/>
    <s v="Gadgets"/>
    <x v="99"/>
    <n v="1"/>
    <n v="49000"/>
    <n v="49000"/>
    <x v="0"/>
    <n v="0"/>
    <x v="136"/>
  </r>
  <r>
    <s v="TXN-00157"/>
    <d v="2023-06-19T00:00:00"/>
    <x v="0"/>
    <s v="June"/>
    <x v="3"/>
    <s v="Islamabad"/>
    <x v="5"/>
    <s v="Makeup"/>
    <x v="100"/>
    <n v="1"/>
    <n v="290"/>
    <n v="290"/>
    <x v="0"/>
    <n v="0"/>
    <x v="137"/>
  </r>
  <r>
    <s v="TXN-00158"/>
    <d v="2023-10-13T00:00:00"/>
    <x v="0"/>
    <s v="October"/>
    <x v="3"/>
    <s v="Islamabad"/>
    <x v="1"/>
    <s v="Mobiles &amp; Tablets"/>
    <x v="101"/>
    <n v="1"/>
    <n v="56500"/>
    <n v="56500"/>
    <x v="0"/>
    <n v="0"/>
    <x v="138"/>
  </r>
  <r>
    <s v="TXN-00159"/>
    <d v="2025-01-08T00:00:00"/>
    <x v="1"/>
    <s v="January"/>
    <x v="0"/>
    <s v="Hyderabad"/>
    <x v="7"/>
    <s v="Plush Toys"/>
    <x v="9"/>
    <n v="2"/>
    <n v="4450"/>
    <n v="8900"/>
    <x v="0"/>
    <n v="0"/>
    <x v="139"/>
  </r>
  <r>
    <s v="TXN-00160"/>
    <d v="2025-04-12T00:00:00"/>
    <x v="1"/>
    <s v="April"/>
    <x v="0"/>
    <s v="Hyderabad"/>
    <x v="6"/>
    <s v="Women's Wear"/>
    <x v="7"/>
    <n v="1"/>
    <n v="6000"/>
    <n v="6000"/>
    <x v="0"/>
    <n v="0"/>
    <x v="38"/>
  </r>
  <r>
    <s v="TXN-00161"/>
    <d v="2024-06-01T00:00:00"/>
    <x v="2"/>
    <s v="June"/>
    <x v="3"/>
    <s v="Islamabad"/>
    <x v="2"/>
    <s v="Dairy"/>
    <x v="49"/>
    <n v="1"/>
    <n v="600"/>
    <n v="600"/>
    <x v="0"/>
    <n v="0"/>
    <x v="140"/>
  </r>
  <r>
    <s v="TXN-00162"/>
    <d v="2023-01-02T00:00:00"/>
    <x v="0"/>
    <s v="January"/>
    <x v="2"/>
    <s v="Lahore"/>
    <x v="0"/>
    <s v="Cooking Oil"/>
    <x v="80"/>
    <n v="3"/>
    <n v="850"/>
    <n v="2550"/>
    <x v="0"/>
    <n v="0"/>
    <x v="141"/>
  </r>
  <r>
    <s v="TXN-00163"/>
    <d v="2025-06-04T00:00:00"/>
    <x v="1"/>
    <s v="June"/>
    <x v="2"/>
    <s v="Lahore"/>
    <x v="3"/>
    <s v="Home Essentials"/>
    <x v="39"/>
    <n v="3"/>
    <n v="220"/>
    <n v="660"/>
    <x v="0"/>
    <n v="0"/>
    <x v="142"/>
  </r>
  <r>
    <s v="TXN-00164"/>
    <d v="2025-04-12T00:00:00"/>
    <x v="1"/>
    <s v="April"/>
    <x v="0"/>
    <s v="Hyderabad"/>
    <x v="5"/>
    <s v="Fragrances"/>
    <x v="84"/>
    <n v="2"/>
    <n v="2550"/>
    <n v="5100"/>
    <x v="53"/>
    <n v="540.6"/>
    <x v="143"/>
  </r>
  <r>
    <s v="TXN-00165"/>
    <d v="2024-04-12T00:00:00"/>
    <x v="2"/>
    <s v="April"/>
    <x v="1"/>
    <s v="Karachi"/>
    <x v="3"/>
    <s v="Home Essentials"/>
    <x v="102"/>
    <n v="1"/>
    <n v="1700"/>
    <n v="1700"/>
    <x v="0"/>
    <n v="0"/>
    <x v="83"/>
  </r>
  <r>
    <s v="TXN-00166"/>
    <d v="2023-06-29T00:00:00"/>
    <x v="0"/>
    <s v="June"/>
    <x v="0"/>
    <s v="Hyderabad"/>
    <x v="5"/>
    <s v="Personal Care"/>
    <x v="103"/>
    <n v="1"/>
    <n v="490"/>
    <n v="490"/>
    <x v="54"/>
    <n v="52.43"/>
    <x v="144"/>
  </r>
  <r>
    <s v="TXN-00167"/>
    <d v="2024-06-12T00:00:00"/>
    <x v="2"/>
    <s v="June"/>
    <x v="0"/>
    <s v="Hyderabad"/>
    <x v="4"/>
    <s v="Breads"/>
    <x v="104"/>
    <n v="6"/>
    <n v="350"/>
    <n v="2100"/>
    <x v="0"/>
    <n v="0"/>
    <x v="145"/>
  </r>
  <r>
    <s v="TXN-00168"/>
    <d v="2025-05-03T00:00:00"/>
    <x v="1"/>
    <s v="May"/>
    <x v="3"/>
    <s v="Islamabad"/>
    <x v="7"/>
    <s v="Plush Toys"/>
    <x v="9"/>
    <n v="1"/>
    <n v="1450"/>
    <n v="1450"/>
    <x v="55"/>
    <n v="134.85"/>
    <x v="146"/>
  </r>
  <r>
    <s v="TXN-00169"/>
    <d v="2023-11-21T00:00:00"/>
    <x v="0"/>
    <s v="November"/>
    <x v="3"/>
    <s v="Islamabad"/>
    <x v="2"/>
    <s v="Dairy"/>
    <x v="14"/>
    <n v="12"/>
    <n v="750"/>
    <n v="9000"/>
    <x v="0"/>
    <n v="0"/>
    <x v="9"/>
  </r>
  <r>
    <s v="TXN-00170"/>
    <d v="2023-08-13T00:00:00"/>
    <x v="0"/>
    <s v="August"/>
    <x v="0"/>
    <s v="Hyderabad"/>
    <x v="6"/>
    <s v="Men's Wear"/>
    <x v="12"/>
    <n v="1"/>
    <n v="4250"/>
    <n v="4250"/>
    <x v="0"/>
    <n v="0"/>
    <x v="147"/>
  </r>
  <r>
    <s v="TXN-00171"/>
    <d v="2023-07-24T00:00:00"/>
    <x v="0"/>
    <s v="July"/>
    <x v="0"/>
    <s v="Hyderabad"/>
    <x v="5"/>
    <s v="Fragrances"/>
    <x v="84"/>
    <n v="3"/>
    <n v="2000"/>
    <n v="6000"/>
    <x v="56"/>
    <n v="168"/>
    <x v="148"/>
  </r>
  <r>
    <s v="TXN-00172"/>
    <d v="2024-04-16T00:00:00"/>
    <x v="2"/>
    <s v="April"/>
    <x v="3"/>
    <s v="Islamabad"/>
    <x v="0"/>
    <s v="Rice &amp; Grains"/>
    <x v="71"/>
    <n v="10"/>
    <n v="1000"/>
    <n v="10000"/>
    <x v="0"/>
    <n v="0"/>
    <x v="149"/>
  </r>
  <r>
    <s v="TXN-00173"/>
    <d v="2025-06-13T00:00:00"/>
    <x v="1"/>
    <s v="June"/>
    <x v="3"/>
    <s v="Islamabad"/>
    <x v="1"/>
    <s v="Gadgets"/>
    <x v="25"/>
    <n v="1"/>
    <n v="52000"/>
    <n v="52000"/>
    <x v="8"/>
    <n v="5200"/>
    <x v="150"/>
  </r>
  <r>
    <s v="TXN-00174"/>
    <d v="2024-09-06T00:00:00"/>
    <x v="2"/>
    <s v="September"/>
    <x v="0"/>
    <s v="Hyderabad"/>
    <x v="2"/>
    <s v="Meat &amp; Poultry"/>
    <x v="105"/>
    <n v="10"/>
    <n v="850"/>
    <n v="8500"/>
    <x v="0"/>
    <n v="0"/>
    <x v="67"/>
  </r>
  <r>
    <s v="TXN-00175"/>
    <d v="2024-07-02T00:00:00"/>
    <x v="2"/>
    <s v="July"/>
    <x v="1"/>
    <s v="Karachi"/>
    <x v="7"/>
    <s v="Board Games"/>
    <x v="31"/>
    <n v="1"/>
    <n v="900"/>
    <n v="900"/>
    <x v="0"/>
    <n v="0"/>
    <x v="99"/>
  </r>
  <r>
    <s v="TXN-00176"/>
    <d v="2025-03-30T00:00:00"/>
    <x v="1"/>
    <s v="March"/>
    <x v="1"/>
    <s v="Karachi"/>
    <x v="7"/>
    <s v="Plush Toys"/>
    <x v="11"/>
    <n v="2"/>
    <n v="950"/>
    <n v="1900"/>
    <x v="0"/>
    <n v="0"/>
    <x v="151"/>
  </r>
  <r>
    <s v="TXN-00177"/>
    <d v="2025-10-20T00:00:00"/>
    <x v="1"/>
    <s v="October"/>
    <x v="2"/>
    <s v="Lahore"/>
    <x v="6"/>
    <s v="Footwear"/>
    <x v="106"/>
    <n v="1"/>
    <n v="6000"/>
    <n v="6000"/>
    <x v="0"/>
    <n v="0"/>
    <x v="38"/>
  </r>
  <r>
    <s v="TXN-00178"/>
    <d v="2024-08-20T00:00:00"/>
    <x v="2"/>
    <s v="August"/>
    <x v="3"/>
    <s v="Islamabad"/>
    <x v="4"/>
    <s v="Cookies"/>
    <x v="4"/>
    <n v="3"/>
    <n v="900"/>
    <n v="2700"/>
    <x v="0"/>
    <n v="0"/>
    <x v="152"/>
  </r>
  <r>
    <s v="TXN-00179"/>
    <d v="2023-12-13T00:00:00"/>
    <x v="0"/>
    <s v="December"/>
    <x v="0"/>
    <s v="Hyderabad"/>
    <x v="4"/>
    <s v="Cakes &amp; Pastries"/>
    <x v="70"/>
    <n v="2"/>
    <n v="1450"/>
    <n v="2900"/>
    <x v="0"/>
    <n v="0"/>
    <x v="123"/>
  </r>
  <r>
    <s v="TXN-00180"/>
    <d v="2024-05-07T00:00:00"/>
    <x v="2"/>
    <s v="May"/>
    <x v="2"/>
    <s v="Lahore"/>
    <x v="1"/>
    <s v="Small Appliances"/>
    <x v="66"/>
    <n v="1"/>
    <n v="65500"/>
    <n v="65500"/>
    <x v="0"/>
    <n v="0"/>
    <x v="153"/>
  </r>
  <r>
    <s v="TXN-00181"/>
    <d v="2023-06-13T00:00:00"/>
    <x v="0"/>
    <s v="June"/>
    <x v="3"/>
    <s v="Islamabad"/>
    <x v="4"/>
    <s v="Breads"/>
    <x v="104"/>
    <n v="8"/>
    <n v="900"/>
    <n v="7200"/>
    <x v="0"/>
    <n v="0"/>
    <x v="154"/>
  </r>
  <r>
    <s v="TXN-00182"/>
    <d v="2025-06-27T00:00:00"/>
    <x v="1"/>
    <s v="June"/>
    <x v="3"/>
    <s v="Islamabad"/>
    <x v="0"/>
    <s v="Rice &amp; Grains"/>
    <x v="23"/>
    <n v="5"/>
    <n v="500"/>
    <n v="2500"/>
    <x v="0"/>
    <n v="0"/>
    <x v="118"/>
  </r>
  <r>
    <s v="TXN-00183"/>
    <d v="2025-11-28T00:00:00"/>
    <x v="1"/>
    <s v="November"/>
    <x v="1"/>
    <s v="Karachi"/>
    <x v="7"/>
    <s v="Board Games"/>
    <x v="31"/>
    <n v="1"/>
    <n v="4050"/>
    <n v="4050"/>
    <x v="0"/>
    <n v="0"/>
    <x v="155"/>
  </r>
  <r>
    <s v="TXN-00184"/>
    <d v="2025-03-16T00:00:00"/>
    <x v="1"/>
    <s v="March"/>
    <x v="2"/>
    <s v="Lahore"/>
    <x v="7"/>
    <s v="Action Figures"/>
    <x v="94"/>
    <n v="2"/>
    <n v="2850"/>
    <n v="5700"/>
    <x v="0"/>
    <n v="0"/>
    <x v="156"/>
  </r>
  <r>
    <s v="TXN-00185"/>
    <d v="2025-04-21T00:00:00"/>
    <x v="1"/>
    <s v="April"/>
    <x v="1"/>
    <s v="Karachi"/>
    <x v="0"/>
    <s v="Packaged Foods"/>
    <x v="10"/>
    <n v="2"/>
    <n v="2200"/>
    <n v="4400"/>
    <x v="0"/>
    <n v="0"/>
    <x v="50"/>
  </r>
  <r>
    <s v="TXN-00186"/>
    <d v="2025-09-22T00:00:00"/>
    <x v="1"/>
    <s v="September"/>
    <x v="0"/>
    <s v="Hyderabad"/>
    <x v="5"/>
    <s v="Makeup"/>
    <x v="59"/>
    <n v="1"/>
    <n v="2450"/>
    <n v="2450"/>
    <x v="57"/>
    <n v="112.7"/>
    <x v="157"/>
  </r>
  <r>
    <s v="TXN-00187"/>
    <d v="2024-07-16T00:00:00"/>
    <x v="2"/>
    <s v="July"/>
    <x v="3"/>
    <s v="Islamabad"/>
    <x v="5"/>
    <s v="Skincare"/>
    <x v="79"/>
    <n v="1"/>
    <n v="3350"/>
    <n v="3350"/>
    <x v="58"/>
    <n v="465.65000000000003"/>
    <x v="158"/>
  </r>
  <r>
    <s v="TXN-00188"/>
    <d v="2024-04-24T00:00:00"/>
    <x v="2"/>
    <s v="April"/>
    <x v="0"/>
    <s v="Hyderabad"/>
    <x v="3"/>
    <s v="Cleaning Supplies"/>
    <x v="22"/>
    <n v="1"/>
    <n v="2600"/>
    <n v="2600"/>
    <x v="0"/>
    <n v="0"/>
    <x v="42"/>
  </r>
  <r>
    <s v="TXN-00189"/>
    <d v="2024-01-23T00:00:00"/>
    <x v="2"/>
    <s v="January"/>
    <x v="1"/>
    <s v="Karachi"/>
    <x v="5"/>
    <s v="Personal Care"/>
    <x v="72"/>
    <n v="4"/>
    <n v="1050"/>
    <n v="4200"/>
    <x v="0"/>
    <n v="0"/>
    <x v="159"/>
  </r>
  <r>
    <s v="TXN-00190"/>
    <d v="2023-10-02T00:00:00"/>
    <x v="0"/>
    <s v="October"/>
    <x v="3"/>
    <s v="Islamabad"/>
    <x v="5"/>
    <s v="Personal Care"/>
    <x v="32"/>
    <n v="1"/>
    <n v="800"/>
    <n v="800"/>
    <x v="0"/>
    <n v="0"/>
    <x v="109"/>
  </r>
  <r>
    <s v="TXN-00191"/>
    <d v="2024-03-01T00:00:00"/>
    <x v="2"/>
    <s v="March"/>
    <x v="1"/>
    <s v="Karachi"/>
    <x v="4"/>
    <s v="Savoury"/>
    <x v="107"/>
    <n v="1"/>
    <n v="850"/>
    <n v="850"/>
    <x v="0"/>
    <n v="0"/>
    <x v="160"/>
  </r>
  <r>
    <s v="TXN-00192"/>
    <d v="2025-05-30T00:00:00"/>
    <x v="1"/>
    <s v="May"/>
    <x v="0"/>
    <s v="Hyderabad"/>
    <x v="4"/>
    <s v="Breads"/>
    <x v="108"/>
    <n v="1"/>
    <n v="1400"/>
    <n v="1400"/>
    <x v="0"/>
    <n v="0"/>
    <x v="161"/>
  </r>
  <r>
    <s v="TXN-00193"/>
    <d v="2023-03-05T00:00:00"/>
    <x v="0"/>
    <s v="March"/>
    <x v="0"/>
    <s v="Hyderabad"/>
    <x v="0"/>
    <s v="Rice &amp; Grains"/>
    <x v="36"/>
    <n v="10"/>
    <n v="600"/>
    <n v="6000"/>
    <x v="11"/>
    <n v="204.00000000000003"/>
    <x v="162"/>
  </r>
  <r>
    <s v="TXN-00194"/>
    <d v="2023-01-15T00:00:00"/>
    <x v="0"/>
    <s v="January"/>
    <x v="3"/>
    <s v="Islamabad"/>
    <x v="2"/>
    <s v="Fruits"/>
    <x v="52"/>
    <n v="10"/>
    <n v="700"/>
    <n v="7000"/>
    <x v="0"/>
    <n v="0"/>
    <x v="163"/>
  </r>
  <r>
    <s v="TXN-00195"/>
    <d v="2024-11-12T00:00:00"/>
    <x v="2"/>
    <s v="November"/>
    <x v="1"/>
    <s v="Karachi"/>
    <x v="5"/>
    <s v="Personal Care"/>
    <x v="96"/>
    <n v="3"/>
    <n v="1250"/>
    <n v="3750"/>
    <x v="0"/>
    <n v="0"/>
    <x v="89"/>
  </r>
  <r>
    <s v="TXN-00196"/>
    <d v="2023-11-07T00:00:00"/>
    <x v="0"/>
    <s v="November"/>
    <x v="0"/>
    <s v="Hyderabad"/>
    <x v="2"/>
    <s v="Meat &amp; Poultry"/>
    <x v="15"/>
    <n v="2"/>
    <n v="190"/>
    <n v="380"/>
    <x v="47"/>
    <n v="5.7"/>
    <x v="164"/>
  </r>
  <r>
    <s v="TXN-00197"/>
    <d v="2024-01-29T00:00:00"/>
    <x v="2"/>
    <s v="January"/>
    <x v="0"/>
    <s v="Hyderabad"/>
    <x v="1"/>
    <s v="Small Appliances"/>
    <x v="21"/>
    <n v="1"/>
    <n v="55000"/>
    <n v="55000"/>
    <x v="0"/>
    <n v="0"/>
    <x v="165"/>
  </r>
  <r>
    <s v="TXN-00198"/>
    <d v="2025-09-25T00:00:00"/>
    <x v="1"/>
    <s v="September"/>
    <x v="2"/>
    <s v="Lahore"/>
    <x v="3"/>
    <s v="Kitchenware"/>
    <x v="43"/>
    <n v="3"/>
    <n v="2000"/>
    <n v="6000"/>
    <x v="0"/>
    <n v="0"/>
    <x v="38"/>
  </r>
  <r>
    <s v="TXN-00199"/>
    <d v="2024-06-27T00:00:00"/>
    <x v="2"/>
    <s v="June"/>
    <x v="3"/>
    <s v="Islamabad"/>
    <x v="5"/>
    <s v="Personal Care"/>
    <x v="103"/>
    <n v="1"/>
    <n v="3350"/>
    <n v="3350"/>
    <x v="59"/>
    <n v="499.15"/>
    <x v="166"/>
  </r>
  <r>
    <s v="TXN-00200"/>
    <d v="2024-01-13T00:00:00"/>
    <x v="2"/>
    <s v="January"/>
    <x v="2"/>
    <s v="Lahore"/>
    <x v="6"/>
    <s v="Footwear"/>
    <x v="57"/>
    <n v="2"/>
    <n v="1150"/>
    <n v="2300"/>
    <x v="0"/>
    <n v="0"/>
    <x v="52"/>
  </r>
  <r>
    <s v="TXN-00201"/>
    <d v="2024-08-11T00:00:00"/>
    <x v="2"/>
    <s v="August"/>
    <x v="1"/>
    <s v="Karachi"/>
    <x v="5"/>
    <s v="Makeup"/>
    <x v="54"/>
    <n v="1"/>
    <n v="2300"/>
    <n v="2300"/>
    <x v="0"/>
    <n v="0"/>
    <x v="52"/>
  </r>
  <r>
    <s v="TXN-00202"/>
    <d v="2025-10-09T00:00:00"/>
    <x v="1"/>
    <s v="October"/>
    <x v="3"/>
    <s v="Islamabad"/>
    <x v="2"/>
    <s v="Fruits"/>
    <x v="77"/>
    <n v="2"/>
    <n v="100"/>
    <n v="200"/>
    <x v="0"/>
    <n v="0"/>
    <x v="167"/>
  </r>
  <r>
    <s v="TXN-00203"/>
    <d v="2023-07-12T00:00:00"/>
    <x v="0"/>
    <s v="July"/>
    <x v="1"/>
    <s v="Karachi"/>
    <x v="7"/>
    <s v="Action Figures"/>
    <x v="75"/>
    <n v="1"/>
    <n v="2800"/>
    <n v="2800"/>
    <x v="0"/>
    <n v="0"/>
    <x v="2"/>
  </r>
  <r>
    <s v="TXN-00204"/>
    <d v="2023-08-16T00:00:00"/>
    <x v="0"/>
    <s v="August"/>
    <x v="3"/>
    <s v="Islamabad"/>
    <x v="2"/>
    <s v="Dairy"/>
    <x v="49"/>
    <n v="2"/>
    <n v="250"/>
    <n v="500"/>
    <x v="0"/>
    <n v="0"/>
    <x v="168"/>
  </r>
  <r>
    <s v="TXN-00205"/>
    <d v="2025-04-03T00:00:00"/>
    <x v="1"/>
    <s v="April"/>
    <x v="1"/>
    <s v="Karachi"/>
    <x v="7"/>
    <s v="Board Games"/>
    <x v="88"/>
    <n v="1"/>
    <n v="4000"/>
    <n v="4000"/>
    <x v="60"/>
    <n v="1140"/>
    <x v="169"/>
  </r>
  <r>
    <s v="TXN-00206"/>
    <d v="2025-12-03T00:00:00"/>
    <x v="1"/>
    <s v="December"/>
    <x v="2"/>
    <s v="Lahore"/>
    <x v="0"/>
    <s v="Spices"/>
    <x v="109"/>
    <n v="1"/>
    <n v="1050"/>
    <n v="1050"/>
    <x v="47"/>
    <n v="15.75"/>
    <x v="170"/>
  </r>
  <r>
    <s v="TXN-00207"/>
    <d v="2024-05-06T00:00:00"/>
    <x v="2"/>
    <s v="May"/>
    <x v="3"/>
    <s v="Islamabad"/>
    <x v="7"/>
    <s v="Board Games"/>
    <x v="20"/>
    <n v="1"/>
    <n v="2300"/>
    <n v="2300"/>
    <x v="7"/>
    <n v="292.10000000000002"/>
    <x v="171"/>
  </r>
  <r>
    <s v="TXN-00208"/>
    <d v="2023-02-03T00:00:00"/>
    <x v="0"/>
    <s v="February"/>
    <x v="0"/>
    <s v="Hyderabad"/>
    <x v="7"/>
    <s v="Action Figures"/>
    <x v="94"/>
    <n v="1"/>
    <n v="1300"/>
    <n v="1300"/>
    <x v="0"/>
    <n v="0"/>
    <x v="172"/>
  </r>
  <r>
    <s v="TXN-00209"/>
    <d v="2025-01-15T00:00:00"/>
    <x v="1"/>
    <s v="January"/>
    <x v="3"/>
    <s v="Islamabad"/>
    <x v="1"/>
    <s v="Gadgets"/>
    <x v="99"/>
    <n v="1"/>
    <n v="4650"/>
    <n v="4650"/>
    <x v="2"/>
    <n v="358.05"/>
    <x v="173"/>
  </r>
  <r>
    <s v="TXN-00210"/>
    <d v="2023-11-17T00:00:00"/>
    <x v="0"/>
    <s v="November"/>
    <x v="2"/>
    <s v="Lahore"/>
    <x v="3"/>
    <s v="Home Essentials"/>
    <x v="39"/>
    <n v="1"/>
    <n v="190"/>
    <n v="190"/>
    <x v="0"/>
    <n v="0"/>
    <x v="174"/>
  </r>
  <r>
    <s v="TXN-00211"/>
    <d v="2024-05-06T00:00:00"/>
    <x v="2"/>
    <s v="May"/>
    <x v="0"/>
    <s v="Hyderabad"/>
    <x v="7"/>
    <s v="Plush Toys"/>
    <x v="9"/>
    <n v="1"/>
    <n v="4350"/>
    <n v="4350"/>
    <x v="61"/>
    <n v="1048.3499999999999"/>
    <x v="175"/>
  </r>
  <r>
    <s v="TXN-00212"/>
    <d v="2025-05-12T00:00:00"/>
    <x v="1"/>
    <s v="May"/>
    <x v="1"/>
    <s v="Karachi"/>
    <x v="1"/>
    <s v="Small Appliances"/>
    <x v="110"/>
    <n v="2"/>
    <n v="83500"/>
    <n v="167000"/>
    <x v="0"/>
    <n v="0"/>
    <x v="176"/>
  </r>
  <r>
    <s v="TXN-00213"/>
    <d v="2024-10-12T00:00:00"/>
    <x v="2"/>
    <s v="October"/>
    <x v="1"/>
    <s v="Karachi"/>
    <x v="2"/>
    <s v="Meat &amp; Poultry"/>
    <x v="105"/>
    <n v="8"/>
    <n v="650"/>
    <n v="5200"/>
    <x v="0"/>
    <n v="0"/>
    <x v="177"/>
  </r>
  <r>
    <s v="TXN-00214"/>
    <d v="2024-10-27T00:00:00"/>
    <x v="2"/>
    <s v="October"/>
    <x v="2"/>
    <s v="Lahore"/>
    <x v="7"/>
    <s v="Action Figures"/>
    <x v="29"/>
    <n v="3"/>
    <n v="2800"/>
    <n v="8400"/>
    <x v="0"/>
    <n v="0"/>
    <x v="178"/>
  </r>
  <r>
    <s v="TXN-00215"/>
    <d v="2025-01-19T00:00:00"/>
    <x v="1"/>
    <s v="January"/>
    <x v="0"/>
    <s v="Hyderabad"/>
    <x v="3"/>
    <s v="Laundry"/>
    <x v="111"/>
    <n v="2"/>
    <n v="3650"/>
    <n v="7300"/>
    <x v="0"/>
    <n v="0"/>
    <x v="18"/>
  </r>
  <r>
    <s v="TXN-00216"/>
    <d v="2023-02-19T00:00:00"/>
    <x v="0"/>
    <s v="February"/>
    <x v="2"/>
    <s v="Lahore"/>
    <x v="1"/>
    <s v="Mobiles &amp; Tablets"/>
    <x v="1"/>
    <n v="1"/>
    <n v="24500"/>
    <n v="24500"/>
    <x v="0"/>
    <n v="0"/>
    <x v="179"/>
  </r>
  <r>
    <s v="TXN-00217"/>
    <d v="2025-02-28T00:00:00"/>
    <x v="1"/>
    <s v="February"/>
    <x v="3"/>
    <s v="Islamabad"/>
    <x v="5"/>
    <s v="Skincare"/>
    <x v="6"/>
    <n v="2"/>
    <n v="900"/>
    <n v="1800"/>
    <x v="0"/>
    <n v="0"/>
    <x v="124"/>
  </r>
  <r>
    <s v="TXN-00218"/>
    <d v="2024-01-15T00:00:00"/>
    <x v="2"/>
    <s v="January"/>
    <x v="1"/>
    <s v="Karachi"/>
    <x v="0"/>
    <s v="Packaged Foods"/>
    <x v="112"/>
    <n v="1"/>
    <n v="1000"/>
    <n v="1000"/>
    <x v="62"/>
    <n v="54"/>
    <x v="180"/>
  </r>
  <r>
    <s v="TXN-00219"/>
    <d v="2024-02-08T00:00:00"/>
    <x v="2"/>
    <s v="February"/>
    <x v="0"/>
    <s v="Hyderabad"/>
    <x v="0"/>
    <s v="Packaged Foods"/>
    <x v="112"/>
    <n v="1"/>
    <n v="2000"/>
    <n v="2000"/>
    <x v="0"/>
    <n v="0"/>
    <x v="181"/>
  </r>
  <r>
    <s v="TXN-00220"/>
    <d v="2023-10-07T00:00:00"/>
    <x v="0"/>
    <s v="October"/>
    <x v="1"/>
    <s v="Karachi"/>
    <x v="1"/>
    <s v="Mobiles &amp; Tablets"/>
    <x v="1"/>
    <n v="2"/>
    <n v="6000"/>
    <n v="12000"/>
    <x v="63"/>
    <n v="1176"/>
    <x v="182"/>
  </r>
  <r>
    <s v="TXN-00221"/>
    <d v="2023-06-20T00:00:00"/>
    <x v="0"/>
    <s v="June"/>
    <x v="2"/>
    <s v="Lahore"/>
    <x v="5"/>
    <s v="Personal Care"/>
    <x v="96"/>
    <n v="1"/>
    <n v="2600"/>
    <n v="2600"/>
    <x v="64"/>
    <n v="26"/>
    <x v="183"/>
  </r>
  <r>
    <s v="TXN-00222"/>
    <d v="2023-10-18T00:00:00"/>
    <x v="0"/>
    <s v="October"/>
    <x v="2"/>
    <s v="Lahore"/>
    <x v="3"/>
    <s v="Laundry"/>
    <x v="111"/>
    <n v="1"/>
    <n v="350"/>
    <n v="350"/>
    <x v="65"/>
    <n v="18.2"/>
    <x v="184"/>
  </r>
  <r>
    <s v="TXN-00223"/>
    <d v="2024-11-01T00:00:00"/>
    <x v="2"/>
    <s v="November"/>
    <x v="0"/>
    <s v="Hyderabad"/>
    <x v="1"/>
    <s v="Gadgets"/>
    <x v="25"/>
    <n v="1"/>
    <n v="27500"/>
    <n v="27500"/>
    <x v="0"/>
    <n v="0"/>
    <x v="185"/>
  </r>
  <r>
    <s v="TXN-00224"/>
    <d v="2025-05-11T00:00:00"/>
    <x v="1"/>
    <s v="May"/>
    <x v="3"/>
    <s v="Islamabad"/>
    <x v="2"/>
    <s v="Vegetables"/>
    <x v="56"/>
    <n v="3"/>
    <n v="400"/>
    <n v="1200"/>
    <x v="66"/>
    <n v="13.2"/>
    <x v="186"/>
  </r>
  <r>
    <s v="TXN-00225"/>
    <d v="2025-05-20T00:00:00"/>
    <x v="1"/>
    <s v="May"/>
    <x v="0"/>
    <s v="Hyderabad"/>
    <x v="5"/>
    <s v="Personal Care"/>
    <x v="72"/>
    <n v="1"/>
    <n v="3900"/>
    <n v="3900"/>
    <x v="0"/>
    <n v="0"/>
    <x v="187"/>
  </r>
  <r>
    <s v="TXN-00226"/>
    <d v="2023-09-10T00:00:00"/>
    <x v="0"/>
    <s v="September"/>
    <x v="0"/>
    <s v="Hyderabad"/>
    <x v="4"/>
    <s v="Cookies"/>
    <x v="4"/>
    <n v="6"/>
    <n v="800"/>
    <n v="4800"/>
    <x v="0"/>
    <n v="0"/>
    <x v="37"/>
  </r>
  <r>
    <s v="TXN-00227"/>
    <d v="2024-01-26T00:00:00"/>
    <x v="2"/>
    <s v="January"/>
    <x v="1"/>
    <s v="Karachi"/>
    <x v="4"/>
    <s v="Breads"/>
    <x v="104"/>
    <n v="12"/>
    <n v="950"/>
    <n v="11400"/>
    <x v="0"/>
    <n v="0"/>
    <x v="188"/>
  </r>
  <r>
    <s v="TXN-00228"/>
    <d v="2025-08-12T00:00:00"/>
    <x v="1"/>
    <s v="August"/>
    <x v="1"/>
    <s v="Karachi"/>
    <x v="5"/>
    <s v="Makeup"/>
    <x v="59"/>
    <n v="1"/>
    <n v="3500"/>
    <n v="3500"/>
    <x v="0"/>
    <n v="0"/>
    <x v="56"/>
  </r>
  <r>
    <s v="TXN-00229"/>
    <d v="2025-07-30T00:00:00"/>
    <x v="1"/>
    <s v="July"/>
    <x v="3"/>
    <s v="Islamabad"/>
    <x v="0"/>
    <s v="Spices"/>
    <x v="82"/>
    <n v="4"/>
    <n v="750"/>
    <n v="3000"/>
    <x v="0"/>
    <n v="0"/>
    <x v="0"/>
  </r>
  <r>
    <s v="TXN-00230"/>
    <d v="2024-04-05T00:00:00"/>
    <x v="2"/>
    <s v="April"/>
    <x v="3"/>
    <s v="Islamabad"/>
    <x v="7"/>
    <s v="Educational"/>
    <x v="113"/>
    <n v="1"/>
    <n v="2500"/>
    <n v="2500"/>
    <x v="0"/>
    <n v="0"/>
    <x v="118"/>
  </r>
  <r>
    <s v="TXN-00231"/>
    <d v="2025-01-10T00:00:00"/>
    <x v="1"/>
    <s v="January"/>
    <x v="3"/>
    <s v="Islamabad"/>
    <x v="5"/>
    <s v="Personal Care"/>
    <x v="32"/>
    <n v="1"/>
    <n v="950"/>
    <n v="950"/>
    <x v="0"/>
    <n v="0"/>
    <x v="78"/>
  </r>
  <r>
    <s v="TXN-00232"/>
    <d v="2025-10-17T00:00:00"/>
    <x v="1"/>
    <s v="October"/>
    <x v="2"/>
    <s v="Lahore"/>
    <x v="4"/>
    <s v="Savoury"/>
    <x v="48"/>
    <n v="1"/>
    <n v="1300"/>
    <n v="1300"/>
    <x v="0"/>
    <n v="0"/>
    <x v="172"/>
  </r>
  <r>
    <s v="TXN-00233"/>
    <d v="2024-11-30T00:00:00"/>
    <x v="2"/>
    <s v="November"/>
    <x v="2"/>
    <s v="Lahore"/>
    <x v="2"/>
    <s v="Dairy"/>
    <x v="51"/>
    <n v="2"/>
    <n v="900"/>
    <n v="1800"/>
    <x v="0"/>
    <n v="0"/>
    <x v="124"/>
  </r>
  <r>
    <s v="TXN-00234"/>
    <d v="2025-06-04T00:00:00"/>
    <x v="1"/>
    <s v="June"/>
    <x v="0"/>
    <s v="Hyderabad"/>
    <x v="6"/>
    <s v="Footwear"/>
    <x v="114"/>
    <n v="2"/>
    <n v="3000"/>
    <n v="6000"/>
    <x v="0"/>
    <n v="0"/>
    <x v="38"/>
  </r>
  <r>
    <s v="TXN-00235"/>
    <d v="2023-03-20T00:00:00"/>
    <x v="0"/>
    <s v="March"/>
    <x v="0"/>
    <s v="Hyderabad"/>
    <x v="2"/>
    <s v="Vegetables"/>
    <x v="86"/>
    <n v="5"/>
    <n v="600"/>
    <n v="3000"/>
    <x v="0"/>
    <n v="0"/>
    <x v="0"/>
  </r>
  <r>
    <s v="TXN-00236"/>
    <d v="2023-04-19T00:00:00"/>
    <x v="0"/>
    <s v="April"/>
    <x v="3"/>
    <s v="Islamabad"/>
    <x v="1"/>
    <s v="Audio &amp; Accessories"/>
    <x v="62"/>
    <n v="2"/>
    <n v="83500"/>
    <n v="167000"/>
    <x v="67"/>
    <n v="24382"/>
    <x v="189"/>
  </r>
  <r>
    <s v="TXN-00237"/>
    <d v="2025-07-28T00:00:00"/>
    <x v="1"/>
    <s v="July"/>
    <x v="0"/>
    <s v="Hyderabad"/>
    <x v="0"/>
    <s v="Spices"/>
    <x v="34"/>
    <n v="1"/>
    <n v="2200"/>
    <n v="2200"/>
    <x v="0"/>
    <n v="0"/>
    <x v="54"/>
  </r>
  <r>
    <s v="TXN-00238"/>
    <d v="2023-02-25T00:00:00"/>
    <x v="0"/>
    <s v="February"/>
    <x v="2"/>
    <s v="Lahore"/>
    <x v="3"/>
    <s v="Home Essentials"/>
    <x v="115"/>
    <n v="1"/>
    <n v="210"/>
    <n v="210"/>
    <x v="0"/>
    <n v="0"/>
    <x v="190"/>
  </r>
  <r>
    <s v="TXN-00239"/>
    <d v="2025-04-30T00:00:00"/>
    <x v="1"/>
    <s v="April"/>
    <x v="3"/>
    <s v="Islamabad"/>
    <x v="6"/>
    <s v="Men's Wear"/>
    <x v="50"/>
    <n v="1"/>
    <n v="2450"/>
    <n v="2450"/>
    <x v="68"/>
    <n v="269.5"/>
    <x v="191"/>
  </r>
  <r>
    <s v="TXN-00240"/>
    <d v="2025-01-27T00:00:00"/>
    <x v="1"/>
    <s v="January"/>
    <x v="0"/>
    <s v="Hyderabad"/>
    <x v="6"/>
    <s v="Kids Wear"/>
    <x v="30"/>
    <n v="1"/>
    <n v="2350"/>
    <n v="2350"/>
    <x v="0"/>
    <n v="0"/>
    <x v="192"/>
  </r>
  <r>
    <s v="TXN-00241"/>
    <d v="2025-11-27T00:00:00"/>
    <x v="1"/>
    <s v="November"/>
    <x v="0"/>
    <s v="Hyderabad"/>
    <x v="1"/>
    <s v="Small Appliances"/>
    <x v="66"/>
    <n v="1"/>
    <n v="34500"/>
    <n v="34500"/>
    <x v="0"/>
    <n v="0"/>
    <x v="193"/>
  </r>
  <r>
    <s v="TXN-00242"/>
    <d v="2025-05-30T00:00:00"/>
    <x v="1"/>
    <s v="May"/>
    <x v="0"/>
    <s v="Hyderabad"/>
    <x v="1"/>
    <s v="Gadgets"/>
    <x v="99"/>
    <n v="1"/>
    <n v="55000"/>
    <n v="55000"/>
    <x v="0"/>
    <n v="0"/>
    <x v="165"/>
  </r>
  <r>
    <s v="TXN-00243"/>
    <d v="2023-01-11T00:00:00"/>
    <x v="0"/>
    <s v="January"/>
    <x v="0"/>
    <s v="Hyderabad"/>
    <x v="3"/>
    <s v="Laundry"/>
    <x v="116"/>
    <n v="5"/>
    <n v="1000"/>
    <n v="5000"/>
    <x v="69"/>
    <n v="405"/>
    <x v="194"/>
  </r>
  <r>
    <s v="TXN-00244"/>
    <d v="2024-02-02T00:00:00"/>
    <x v="2"/>
    <s v="February"/>
    <x v="2"/>
    <s v="Lahore"/>
    <x v="5"/>
    <s v="Makeup"/>
    <x v="117"/>
    <n v="1"/>
    <n v="480"/>
    <n v="480"/>
    <x v="0"/>
    <n v="0"/>
    <x v="195"/>
  </r>
  <r>
    <s v="TXN-00245"/>
    <d v="2023-06-07T00:00:00"/>
    <x v="0"/>
    <s v="June"/>
    <x v="3"/>
    <s v="Islamabad"/>
    <x v="3"/>
    <s v="Kitchenware"/>
    <x v="43"/>
    <n v="3"/>
    <n v="3050"/>
    <n v="9150"/>
    <x v="0"/>
    <n v="0"/>
    <x v="196"/>
  </r>
  <r>
    <s v="TXN-00246"/>
    <d v="2023-01-09T00:00:00"/>
    <x v="0"/>
    <s v="January"/>
    <x v="1"/>
    <s v="Karachi"/>
    <x v="5"/>
    <s v="Skincare"/>
    <x v="6"/>
    <n v="1"/>
    <n v="4500"/>
    <n v="4500"/>
    <x v="0"/>
    <n v="0"/>
    <x v="90"/>
  </r>
  <r>
    <s v="TXN-00247"/>
    <d v="2025-09-06T00:00:00"/>
    <x v="1"/>
    <s v="September"/>
    <x v="3"/>
    <s v="Islamabad"/>
    <x v="4"/>
    <s v="Cookies"/>
    <x v="63"/>
    <n v="1"/>
    <n v="260"/>
    <n v="260"/>
    <x v="0"/>
    <n v="0"/>
    <x v="197"/>
  </r>
  <r>
    <s v="TXN-00248"/>
    <d v="2025-06-03T00:00:00"/>
    <x v="1"/>
    <s v="June"/>
    <x v="2"/>
    <s v="Lahore"/>
    <x v="7"/>
    <s v="Action Figures"/>
    <x v="75"/>
    <n v="1"/>
    <n v="4450"/>
    <n v="4450"/>
    <x v="0"/>
    <n v="0"/>
    <x v="198"/>
  </r>
  <r>
    <s v="TXN-00249"/>
    <d v="2023-10-24T00:00:00"/>
    <x v="0"/>
    <s v="October"/>
    <x v="3"/>
    <s v="Islamabad"/>
    <x v="0"/>
    <s v="Rice &amp; Grains"/>
    <x v="36"/>
    <n v="4"/>
    <n v="650"/>
    <n v="2600"/>
    <x v="70"/>
    <n v="13"/>
    <x v="199"/>
  </r>
  <r>
    <s v="TXN-00250"/>
    <d v="2025-10-16T00:00:00"/>
    <x v="1"/>
    <s v="October"/>
    <x v="1"/>
    <s v="Karachi"/>
    <x v="4"/>
    <s v="Cookies"/>
    <x v="53"/>
    <n v="3"/>
    <n v="800"/>
    <n v="2400"/>
    <x v="63"/>
    <n v="235.20000000000002"/>
    <x v="200"/>
  </r>
  <r>
    <s v="TXN-00251"/>
    <d v="2024-07-31T00:00:00"/>
    <x v="2"/>
    <s v="July"/>
    <x v="2"/>
    <s v="Lahore"/>
    <x v="2"/>
    <s v="Dairy"/>
    <x v="37"/>
    <n v="5"/>
    <n v="900"/>
    <n v="4500"/>
    <x v="5"/>
    <n v="31.5"/>
    <x v="201"/>
  </r>
  <r>
    <s v="TXN-00252"/>
    <d v="2025-12-16T00:00:00"/>
    <x v="1"/>
    <s v="December"/>
    <x v="0"/>
    <s v="Hyderabad"/>
    <x v="0"/>
    <s v="Packaged Foods"/>
    <x v="10"/>
    <n v="3"/>
    <n v="2450"/>
    <n v="7350"/>
    <x v="0"/>
    <n v="0"/>
    <x v="202"/>
  </r>
  <r>
    <s v="TXN-00253"/>
    <d v="2023-08-29T00:00:00"/>
    <x v="0"/>
    <s v="August"/>
    <x v="1"/>
    <s v="Karachi"/>
    <x v="2"/>
    <s v="Meat &amp; Poultry"/>
    <x v="118"/>
    <n v="5"/>
    <n v="950"/>
    <n v="4750"/>
    <x v="0"/>
    <n v="0"/>
    <x v="203"/>
  </r>
  <r>
    <s v="TXN-00254"/>
    <d v="2023-07-05T00:00:00"/>
    <x v="0"/>
    <s v="July"/>
    <x v="2"/>
    <s v="Lahore"/>
    <x v="2"/>
    <s v="Vegetables"/>
    <x v="86"/>
    <n v="5"/>
    <n v="950"/>
    <n v="4750"/>
    <x v="37"/>
    <n v="42.75"/>
    <x v="204"/>
  </r>
  <r>
    <s v="TXN-00255"/>
    <d v="2025-10-04T00:00:00"/>
    <x v="1"/>
    <s v="October"/>
    <x v="2"/>
    <s v="Lahore"/>
    <x v="2"/>
    <s v="Fruits"/>
    <x v="52"/>
    <n v="5"/>
    <n v="1000"/>
    <n v="5000"/>
    <x v="0"/>
    <n v="0"/>
    <x v="55"/>
  </r>
  <r>
    <s v="TXN-00256"/>
    <d v="2023-01-31T00:00:00"/>
    <x v="0"/>
    <s v="January"/>
    <x v="3"/>
    <s v="Islamabad"/>
    <x v="3"/>
    <s v="Cleaning Supplies"/>
    <x v="85"/>
    <n v="2"/>
    <n v="2850"/>
    <n v="5700"/>
    <x v="33"/>
    <n v="79.8"/>
    <x v="205"/>
  </r>
  <r>
    <s v="TXN-00257"/>
    <d v="2025-12-04T00:00:00"/>
    <x v="1"/>
    <s v="December"/>
    <x v="3"/>
    <s v="Islamabad"/>
    <x v="4"/>
    <s v="Savoury"/>
    <x v="119"/>
    <n v="8"/>
    <n v="800"/>
    <n v="6400"/>
    <x v="0"/>
    <n v="0"/>
    <x v="206"/>
  </r>
  <r>
    <s v="TXN-00258"/>
    <d v="2025-08-15T00:00:00"/>
    <x v="1"/>
    <s v="August"/>
    <x v="3"/>
    <s v="Islamabad"/>
    <x v="7"/>
    <s v="Plush Toys"/>
    <x v="91"/>
    <n v="1"/>
    <n v="3950"/>
    <n v="3950"/>
    <x v="0"/>
    <n v="0"/>
    <x v="207"/>
  </r>
  <r>
    <s v="TXN-00259"/>
    <d v="2023-03-22T00:00:00"/>
    <x v="0"/>
    <s v="March"/>
    <x v="3"/>
    <s v="Islamabad"/>
    <x v="4"/>
    <s v="Cakes &amp; Pastries"/>
    <x v="95"/>
    <n v="3"/>
    <n v="650"/>
    <n v="1950"/>
    <x v="26"/>
    <n v="159.9"/>
    <x v="208"/>
  </r>
  <r>
    <s v="TXN-00260"/>
    <d v="2024-04-20T00:00:00"/>
    <x v="2"/>
    <s v="April"/>
    <x v="3"/>
    <s v="Islamabad"/>
    <x v="4"/>
    <s v="Cookies"/>
    <x v="90"/>
    <n v="3"/>
    <n v="800"/>
    <n v="2400"/>
    <x v="0"/>
    <n v="0"/>
    <x v="68"/>
  </r>
  <r>
    <s v="TXN-00261"/>
    <d v="2025-09-07T00:00:00"/>
    <x v="1"/>
    <s v="September"/>
    <x v="1"/>
    <s v="Karachi"/>
    <x v="4"/>
    <s v="Cookies"/>
    <x v="4"/>
    <n v="2"/>
    <n v="550"/>
    <n v="1100"/>
    <x v="28"/>
    <n v="100.1"/>
    <x v="209"/>
  </r>
  <r>
    <s v="TXN-00262"/>
    <d v="2023-04-10T00:00:00"/>
    <x v="0"/>
    <s v="April"/>
    <x v="2"/>
    <s v="Lahore"/>
    <x v="3"/>
    <s v="Kitchenware"/>
    <x v="5"/>
    <n v="1"/>
    <n v="230"/>
    <n v="230"/>
    <x v="0"/>
    <n v="0"/>
    <x v="210"/>
  </r>
  <r>
    <s v="TXN-00263"/>
    <d v="2024-05-21T00:00:00"/>
    <x v="2"/>
    <s v="May"/>
    <x v="1"/>
    <s v="Karachi"/>
    <x v="5"/>
    <s v="Personal Care"/>
    <x v="96"/>
    <n v="1"/>
    <n v="2450"/>
    <n v="2450"/>
    <x v="52"/>
    <n v="139.65"/>
    <x v="211"/>
  </r>
  <r>
    <s v="TXN-00264"/>
    <d v="2023-01-23T00:00:00"/>
    <x v="0"/>
    <s v="January"/>
    <x v="0"/>
    <s v="Hyderabad"/>
    <x v="1"/>
    <s v="Mobiles &amp; Tablets"/>
    <x v="55"/>
    <n v="1"/>
    <n v="59000"/>
    <n v="59000"/>
    <x v="0"/>
    <n v="0"/>
    <x v="212"/>
  </r>
  <r>
    <s v="TXN-00265"/>
    <d v="2025-05-25T00:00:00"/>
    <x v="1"/>
    <s v="May"/>
    <x v="3"/>
    <s v="Islamabad"/>
    <x v="0"/>
    <s v="Lentils &amp; Beans"/>
    <x v="26"/>
    <n v="1"/>
    <n v="2150"/>
    <n v="2150"/>
    <x v="0"/>
    <n v="0"/>
    <x v="114"/>
  </r>
  <r>
    <s v="TXN-00266"/>
    <d v="2023-05-07T00:00:00"/>
    <x v="0"/>
    <s v="May"/>
    <x v="0"/>
    <s v="Hyderabad"/>
    <x v="7"/>
    <s v="Educational"/>
    <x v="113"/>
    <n v="1"/>
    <n v="3300"/>
    <n v="3300"/>
    <x v="0"/>
    <n v="0"/>
    <x v="213"/>
  </r>
  <r>
    <s v="TXN-00267"/>
    <d v="2024-10-17T00:00:00"/>
    <x v="2"/>
    <s v="October"/>
    <x v="1"/>
    <s v="Karachi"/>
    <x v="4"/>
    <s v="Cookies"/>
    <x v="4"/>
    <n v="1"/>
    <n v="1250"/>
    <n v="1250"/>
    <x v="0"/>
    <n v="0"/>
    <x v="214"/>
  </r>
  <r>
    <s v="TXN-00268"/>
    <d v="2024-02-09T00:00:00"/>
    <x v="2"/>
    <s v="February"/>
    <x v="2"/>
    <s v="Lahore"/>
    <x v="2"/>
    <s v="Dairy"/>
    <x v="14"/>
    <n v="1"/>
    <n v="420"/>
    <n v="420"/>
    <x v="0"/>
    <n v="0"/>
    <x v="215"/>
  </r>
  <r>
    <s v="TXN-00269"/>
    <d v="2024-06-03T00:00:00"/>
    <x v="2"/>
    <s v="June"/>
    <x v="0"/>
    <s v="Hyderabad"/>
    <x v="2"/>
    <s v="Vegetables"/>
    <x v="2"/>
    <n v="2"/>
    <n v="900"/>
    <n v="1800"/>
    <x v="0"/>
    <n v="0"/>
    <x v="124"/>
  </r>
  <r>
    <s v="TXN-00270"/>
    <d v="2023-12-11T00:00:00"/>
    <x v="0"/>
    <s v="December"/>
    <x v="2"/>
    <s v="Lahore"/>
    <x v="5"/>
    <s v="Skincare"/>
    <x v="120"/>
    <n v="2"/>
    <n v="4000"/>
    <n v="8000"/>
    <x v="0"/>
    <n v="0"/>
    <x v="216"/>
  </r>
  <r>
    <s v="TXN-00271"/>
    <d v="2024-04-29T00:00:00"/>
    <x v="2"/>
    <s v="April"/>
    <x v="3"/>
    <s v="Islamabad"/>
    <x v="5"/>
    <s v="Skincare"/>
    <x v="120"/>
    <n v="3"/>
    <n v="1150"/>
    <n v="3450"/>
    <x v="0"/>
    <n v="0"/>
    <x v="217"/>
  </r>
  <r>
    <s v="TXN-00272"/>
    <d v="2023-11-24T00:00:00"/>
    <x v="0"/>
    <s v="November"/>
    <x v="0"/>
    <s v="Hyderabad"/>
    <x v="7"/>
    <s v="Board Games"/>
    <x v="20"/>
    <n v="3"/>
    <n v="3200"/>
    <n v="9600"/>
    <x v="71"/>
    <n v="2496"/>
    <x v="218"/>
  </r>
  <r>
    <s v="TXN-00273"/>
    <d v="2023-01-10T00:00:00"/>
    <x v="0"/>
    <s v="January"/>
    <x v="0"/>
    <s v="Hyderabad"/>
    <x v="2"/>
    <s v="Fruits"/>
    <x v="78"/>
    <n v="8"/>
    <n v="1150"/>
    <n v="9200"/>
    <x v="16"/>
    <n v="156.4"/>
    <x v="219"/>
  </r>
  <r>
    <s v="TXN-00274"/>
    <d v="2023-11-18T00:00:00"/>
    <x v="0"/>
    <s v="November"/>
    <x v="0"/>
    <s v="Hyderabad"/>
    <x v="1"/>
    <s v="Audio &amp; Accessories"/>
    <x v="92"/>
    <n v="1"/>
    <n v="56000"/>
    <n v="56000"/>
    <x v="72"/>
    <n v="3752"/>
    <x v="220"/>
  </r>
  <r>
    <s v="TXN-00275"/>
    <d v="2023-06-19T00:00:00"/>
    <x v="0"/>
    <s v="June"/>
    <x v="3"/>
    <s v="Islamabad"/>
    <x v="0"/>
    <s v="Lentils &amp; Beans"/>
    <x v="60"/>
    <n v="6"/>
    <n v="490"/>
    <n v="2940"/>
    <x v="0"/>
    <n v="0"/>
    <x v="221"/>
  </r>
  <r>
    <s v="TXN-00276"/>
    <d v="2024-03-23T00:00:00"/>
    <x v="2"/>
    <s v="March"/>
    <x v="2"/>
    <s v="Lahore"/>
    <x v="3"/>
    <s v="Home Essentials"/>
    <x v="18"/>
    <n v="3"/>
    <n v="3000"/>
    <n v="9000"/>
    <x v="73"/>
    <n v="549"/>
    <x v="222"/>
  </r>
  <r>
    <s v="TXN-00277"/>
    <d v="2025-08-14T00:00:00"/>
    <x v="1"/>
    <s v="August"/>
    <x v="2"/>
    <s v="Lahore"/>
    <x v="4"/>
    <s v="Breads"/>
    <x v="104"/>
    <n v="2"/>
    <n v="1650"/>
    <n v="3300"/>
    <x v="74"/>
    <n v="280.5"/>
    <x v="223"/>
  </r>
  <r>
    <s v="TXN-00278"/>
    <d v="2025-11-10T00:00:00"/>
    <x v="1"/>
    <s v="November"/>
    <x v="3"/>
    <s v="Islamabad"/>
    <x v="7"/>
    <s v="Board Games"/>
    <x v="61"/>
    <n v="1"/>
    <n v="2550"/>
    <n v="2550"/>
    <x v="0"/>
    <n v="0"/>
    <x v="141"/>
  </r>
  <r>
    <s v="TXN-00279"/>
    <d v="2024-10-25T00:00:00"/>
    <x v="2"/>
    <s v="October"/>
    <x v="3"/>
    <s v="Islamabad"/>
    <x v="5"/>
    <s v="Personal Care"/>
    <x v="72"/>
    <n v="3"/>
    <n v="430"/>
    <n v="1290"/>
    <x v="75"/>
    <n v="25.8"/>
    <x v="224"/>
  </r>
  <r>
    <s v="TXN-00280"/>
    <d v="2024-09-12T00:00:00"/>
    <x v="2"/>
    <s v="September"/>
    <x v="0"/>
    <s v="Hyderabad"/>
    <x v="0"/>
    <s v="Spices"/>
    <x v="34"/>
    <n v="2"/>
    <n v="1600"/>
    <n v="3200"/>
    <x v="76"/>
    <n v="208"/>
    <x v="225"/>
  </r>
  <r>
    <s v="TXN-00281"/>
    <d v="2024-02-29T00:00:00"/>
    <x v="2"/>
    <s v="February"/>
    <x v="2"/>
    <s v="Lahore"/>
    <x v="7"/>
    <s v="Action Figures"/>
    <x v="121"/>
    <n v="1"/>
    <n v="4300"/>
    <n v="4300"/>
    <x v="77"/>
    <n v="756.8"/>
    <x v="226"/>
  </r>
  <r>
    <s v="TXN-00282"/>
    <d v="2024-06-30T00:00:00"/>
    <x v="2"/>
    <s v="June"/>
    <x v="1"/>
    <s v="Karachi"/>
    <x v="4"/>
    <s v="Cakes &amp; Pastries"/>
    <x v="87"/>
    <n v="1"/>
    <n v="650"/>
    <n v="650"/>
    <x v="0"/>
    <n v="0"/>
    <x v="227"/>
  </r>
  <r>
    <s v="TXN-00283"/>
    <d v="2024-12-23T00:00:00"/>
    <x v="2"/>
    <s v="December"/>
    <x v="1"/>
    <s v="Karachi"/>
    <x v="4"/>
    <s v="Cookies"/>
    <x v="90"/>
    <n v="1"/>
    <n v="170"/>
    <n v="170"/>
    <x v="76"/>
    <n v="11.05"/>
    <x v="228"/>
  </r>
  <r>
    <s v="TXN-00284"/>
    <d v="2023-08-17T00:00:00"/>
    <x v="0"/>
    <s v="August"/>
    <x v="1"/>
    <s v="Karachi"/>
    <x v="4"/>
    <s v="Cakes &amp; Pastries"/>
    <x v="65"/>
    <n v="1"/>
    <n v="310"/>
    <n v="310"/>
    <x v="78"/>
    <n v="1.86"/>
    <x v="229"/>
  </r>
  <r>
    <s v="TXN-00285"/>
    <d v="2023-07-20T00:00:00"/>
    <x v="0"/>
    <s v="July"/>
    <x v="3"/>
    <s v="Islamabad"/>
    <x v="7"/>
    <s v="Educational"/>
    <x v="45"/>
    <n v="1"/>
    <n v="1000"/>
    <n v="1000"/>
    <x v="0"/>
    <n v="0"/>
    <x v="230"/>
  </r>
  <r>
    <s v="TXN-00286"/>
    <d v="2023-11-20T00:00:00"/>
    <x v="0"/>
    <s v="November"/>
    <x v="0"/>
    <s v="Hyderabad"/>
    <x v="5"/>
    <s v="Makeup"/>
    <x v="54"/>
    <n v="2"/>
    <n v="4200"/>
    <n v="8400"/>
    <x v="9"/>
    <n v="957.6"/>
    <x v="231"/>
  </r>
  <r>
    <s v="TXN-00287"/>
    <d v="2024-07-29T00:00:00"/>
    <x v="2"/>
    <s v="July"/>
    <x v="0"/>
    <s v="Hyderabad"/>
    <x v="3"/>
    <s v="Laundry"/>
    <x v="111"/>
    <n v="3"/>
    <n v="1050"/>
    <n v="3150"/>
    <x v="0"/>
    <n v="0"/>
    <x v="232"/>
  </r>
  <r>
    <s v="TXN-00288"/>
    <d v="2025-07-22T00:00:00"/>
    <x v="1"/>
    <s v="July"/>
    <x v="2"/>
    <s v="Lahore"/>
    <x v="4"/>
    <s v="Breads"/>
    <x v="104"/>
    <n v="2"/>
    <n v="1650"/>
    <n v="3300"/>
    <x v="0"/>
    <n v="0"/>
    <x v="213"/>
  </r>
  <r>
    <s v="TXN-00289"/>
    <d v="2024-03-01T00:00:00"/>
    <x v="2"/>
    <s v="March"/>
    <x v="1"/>
    <s v="Karachi"/>
    <x v="2"/>
    <s v="Meat &amp; Poultry"/>
    <x v="118"/>
    <n v="6"/>
    <n v="1050"/>
    <n v="6300"/>
    <x v="0"/>
    <n v="0"/>
    <x v="100"/>
  </r>
  <r>
    <s v="TXN-00290"/>
    <d v="2025-01-06T00:00:00"/>
    <x v="1"/>
    <s v="January"/>
    <x v="2"/>
    <s v="Lahore"/>
    <x v="1"/>
    <s v="Gadgets"/>
    <x v="25"/>
    <n v="2"/>
    <n v="54500"/>
    <n v="109000"/>
    <x v="0"/>
    <n v="0"/>
    <x v="233"/>
  </r>
  <r>
    <s v="TXN-00291"/>
    <d v="2025-02-10T00:00:00"/>
    <x v="1"/>
    <s v="February"/>
    <x v="3"/>
    <s v="Islamabad"/>
    <x v="0"/>
    <s v="Packaged Foods"/>
    <x v="112"/>
    <n v="6"/>
    <n v="1950"/>
    <n v="11700"/>
    <x v="0"/>
    <n v="0"/>
    <x v="234"/>
  </r>
  <r>
    <s v="TXN-00292"/>
    <d v="2023-06-10T00:00:00"/>
    <x v="0"/>
    <s v="June"/>
    <x v="2"/>
    <s v="Lahore"/>
    <x v="7"/>
    <s v="Board Games"/>
    <x v="88"/>
    <n v="1"/>
    <n v="360"/>
    <n v="360"/>
    <x v="34"/>
    <n v="27"/>
    <x v="235"/>
  </r>
  <r>
    <s v="TXN-00293"/>
    <d v="2024-09-03T00:00:00"/>
    <x v="2"/>
    <s v="September"/>
    <x v="1"/>
    <s v="Karachi"/>
    <x v="0"/>
    <s v="Rice &amp; Grains"/>
    <x v="64"/>
    <n v="2"/>
    <n v="850"/>
    <n v="1700"/>
    <x v="45"/>
    <n v="64.599999999999994"/>
    <x v="236"/>
  </r>
  <r>
    <s v="TXN-00294"/>
    <d v="2023-10-20T00:00:00"/>
    <x v="0"/>
    <s v="October"/>
    <x v="0"/>
    <s v="Hyderabad"/>
    <x v="4"/>
    <s v="Breads"/>
    <x v="104"/>
    <n v="4"/>
    <n v="1250"/>
    <n v="5000"/>
    <x v="0"/>
    <n v="0"/>
    <x v="55"/>
  </r>
  <r>
    <s v="TXN-00295"/>
    <d v="2024-06-06T00:00:00"/>
    <x v="2"/>
    <s v="June"/>
    <x v="1"/>
    <s v="Karachi"/>
    <x v="1"/>
    <s v="Small Appliances"/>
    <x v="21"/>
    <n v="2"/>
    <n v="29500"/>
    <n v="59000"/>
    <x v="76"/>
    <n v="3835"/>
    <x v="237"/>
  </r>
  <r>
    <s v="TXN-00296"/>
    <d v="2023-07-20T00:00:00"/>
    <x v="0"/>
    <s v="July"/>
    <x v="2"/>
    <s v="Lahore"/>
    <x v="7"/>
    <s v="Educational"/>
    <x v="45"/>
    <n v="2"/>
    <n v="4200"/>
    <n v="8400"/>
    <x v="0"/>
    <n v="0"/>
    <x v="178"/>
  </r>
  <r>
    <s v="TXN-00297"/>
    <d v="2024-10-23T00:00:00"/>
    <x v="2"/>
    <s v="October"/>
    <x v="0"/>
    <s v="Hyderabad"/>
    <x v="6"/>
    <s v="Footwear"/>
    <x v="89"/>
    <n v="1"/>
    <n v="2200"/>
    <n v="2200"/>
    <x v="0"/>
    <n v="0"/>
    <x v="54"/>
  </r>
  <r>
    <s v="TXN-00298"/>
    <d v="2023-08-26T00:00:00"/>
    <x v="0"/>
    <s v="August"/>
    <x v="1"/>
    <s v="Karachi"/>
    <x v="2"/>
    <s v="Dairy"/>
    <x v="49"/>
    <n v="8"/>
    <n v="600"/>
    <n v="4800"/>
    <x v="0"/>
    <n v="0"/>
    <x v="37"/>
  </r>
  <r>
    <s v="TXN-00299"/>
    <d v="2024-10-19T00:00:00"/>
    <x v="2"/>
    <s v="October"/>
    <x v="0"/>
    <s v="Hyderabad"/>
    <x v="6"/>
    <s v="Kids Wear"/>
    <x v="30"/>
    <n v="1"/>
    <n v="5500"/>
    <n v="5500"/>
    <x v="0"/>
    <n v="0"/>
    <x v="238"/>
  </r>
  <r>
    <s v="TXN-00300"/>
    <d v="2023-04-11T00:00:00"/>
    <x v="0"/>
    <s v="April"/>
    <x v="3"/>
    <s v="Islamabad"/>
    <x v="6"/>
    <s v="Men's Wear"/>
    <x v="122"/>
    <n v="4"/>
    <n v="3750"/>
    <n v="15000"/>
    <x v="0"/>
    <n v="0"/>
    <x v="239"/>
  </r>
  <r>
    <s v="TXN-00301"/>
    <d v="2023-05-13T00:00:00"/>
    <x v="0"/>
    <s v="May"/>
    <x v="2"/>
    <s v="Lahore"/>
    <x v="7"/>
    <s v="Action Figures"/>
    <x v="75"/>
    <n v="1"/>
    <n v="370"/>
    <n v="370"/>
    <x v="79"/>
    <n v="79.55"/>
    <x v="240"/>
  </r>
  <r>
    <s v="TXN-00302"/>
    <d v="2023-12-02T00:00:00"/>
    <x v="0"/>
    <s v="December"/>
    <x v="3"/>
    <s v="Islamabad"/>
    <x v="7"/>
    <s v="Action Figures"/>
    <x v="121"/>
    <n v="1"/>
    <n v="3650"/>
    <n v="3650"/>
    <x v="0"/>
    <n v="0"/>
    <x v="241"/>
  </r>
  <r>
    <s v="TXN-00303"/>
    <d v="2023-04-26T00:00:00"/>
    <x v="0"/>
    <s v="April"/>
    <x v="2"/>
    <s v="Lahore"/>
    <x v="6"/>
    <s v="Footwear"/>
    <x v="114"/>
    <n v="1"/>
    <n v="3550"/>
    <n v="3550"/>
    <x v="0"/>
    <n v="0"/>
    <x v="242"/>
  </r>
  <r>
    <s v="TXN-00304"/>
    <d v="2024-06-25T00:00:00"/>
    <x v="2"/>
    <s v="June"/>
    <x v="3"/>
    <s v="Islamabad"/>
    <x v="2"/>
    <s v="Dairy"/>
    <x v="49"/>
    <n v="1"/>
    <n v="180"/>
    <n v="180"/>
    <x v="17"/>
    <n v="8.82"/>
    <x v="243"/>
  </r>
  <r>
    <s v="TXN-00305"/>
    <d v="2025-05-22T00:00:00"/>
    <x v="1"/>
    <s v="May"/>
    <x v="0"/>
    <s v="Hyderabad"/>
    <x v="4"/>
    <s v="Cookies"/>
    <x v="4"/>
    <n v="3"/>
    <n v="1500"/>
    <n v="4500"/>
    <x v="0"/>
    <n v="0"/>
    <x v="90"/>
  </r>
  <r>
    <s v="TXN-00306"/>
    <d v="2024-03-12T00:00:00"/>
    <x v="2"/>
    <s v="March"/>
    <x v="0"/>
    <s v="Hyderabad"/>
    <x v="7"/>
    <s v="Board Games"/>
    <x v="31"/>
    <n v="1"/>
    <n v="550"/>
    <n v="550"/>
    <x v="0"/>
    <n v="0"/>
    <x v="102"/>
  </r>
  <r>
    <s v="TXN-00307"/>
    <d v="2024-06-22T00:00:00"/>
    <x v="2"/>
    <s v="June"/>
    <x v="2"/>
    <s v="Lahore"/>
    <x v="0"/>
    <s v="Spices"/>
    <x v="82"/>
    <n v="2"/>
    <n v="1450"/>
    <n v="2900"/>
    <x v="0"/>
    <n v="0"/>
    <x v="123"/>
  </r>
  <r>
    <s v="TXN-00308"/>
    <d v="2023-04-29T00:00:00"/>
    <x v="0"/>
    <s v="April"/>
    <x v="3"/>
    <s v="Islamabad"/>
    <x v="2"/>
    <s v="Fruits"/>
    <x v="123"/>
    <n v="2"/>
    <n v="420"/>
    <n v="840"/>
    <x v="0"/>
    <n v="0"/>
    <x v="244"/>
  </r>
  <r>
    <s v="TXN-00309"/>
    <d v="2024-03-28T00:00:00"/>
    <x v="2"/>
    <s v="March"/>
    <x v="1"/>
    <s v="Karachi"/>
    <x v="2"/>
    <s v="Vegetables"/>
    <x v="81"/>
    <n v="10"/>
    <n v="1150"/>
    <n v="11500"/>
    <x v="80"/>
    <n v="413.99999999999994"/>
    <x v="245"/>
  </r>
  <r>
    <s v="TXN-00310"/>
    <d v="2025-11-06T00:00:00"/>
    <x v="1"/>
    <s v="November"/>
    <x v="0"/>
    <s v="Hyderabad"/>
    <x v="1"/>
    <s v="Small Appliances"/>
    <x v="68"/>
    <n v="1"/>
    <n v="3800"/>
    <n v="3800"/>
    <x v="0"/>
    <n v="0"/>
    <x v="246"/>
  </r>
  <r>
    <s v="TXN-00311"/>
    <d v="2023-03-29T00:00:00"/>
    <x v="0"/>
    <s v="March"/>
    <x v="3"/>
    <s v="Islamabad"/>
    <x v="0"/>
    <s v="Beverages"/>
    <x v="27"/>
    <n v="4"/>
    <n v="1750"/>
    <n v="7000"/>
    <x v="0"/>
    <n v="0"/>
    <x v="163"/>
  </r>
  <r>
    <s v="TXN-00312"/>
    <d v="2025-06-21T00:00:00"/>
    <x v="1"/>
    <s v="June"/>
    <x v="2"/>
    <s v="Lahore"/>
    <x v="0"/>
    <s v="Lentils &amp; Beans"/>
    <x v="33"/>
    <n v="2"/>
    <n v="2150"/>
    <n v="4300"/>
    <x v="0"/>
    <n v="0"/>
    <x v="95"/>
  </r>
  <r>
    <s v="TXN-00313"/>
    <d v="2025-05-01T00:00:00"/>
    <x v="1"/>
    <s v="May"/>
    <x v="3"/>
    <s v="Islamabad"/>
    <x v="6"/>
    <s v="Footwear"/>
    <x v="57"/>
    <n v="1"/>
    <n v="5000"/>
    <n v="5000"/>
    <x v="81"/>
    <n v="725"/>
    <x v="247"/>
  </r>
  <r>
    <s v="TXN-00314"/>
    <d v="2024-11-19T00:00:00"/>
    <x v="2"/>
    <s v="November"/>
    <x v="0"/>
    <s v="Hyderabad"/>
    <x v="0"/>
    <s v="Cooking Oil"/>
    <x v="124"/>
    <n v="2"/>
    <n v="2400"/>
    <n v="4800"/>
    <x v="0"/>
    <n v="0"/>
    <x v="37"/>
  </r>
  <r>
    <s v="TXN-00315"/>
    <d v="2025-08-10T00:00:00"/>
    <x v="1"/>
    <s v="August"/>
    <x v="1"/>
    <s v="Karachi"/>
    <x v="4"/>
    <s v="Cakes &amp; Pastries"/>
    <x v="87"/>
    <n v="3"/>
    <n v="1050"/>
    <n v="3150"/>
    <x v="0"/>
    <n v="0"/>
    <x v="232"/>
  </r>
  <r>
    <s v="TXN-00316"/>
    <d v="2024-02-07T00:00:00"/>
    <x v="2"/>
    <s v="February"/>
    <x v="3"/>
    <s v="Islamabad"/>
    <x v="2"/>
    <s v="Vegetables"/>
    <x v="2"/>
    <n v="1"/>
    <n v="900"/>
    <n v="900"/>
    <x v="0"/>
    <n v="0"/>
    <x v="99"/>
  </r>
  <r>
    <s v="TXN-00317"/>
    <d v="2023-11-08T00:00:00"/>
    <x v="0"/>
    <s v="November"/>
    <x v="0"/>
    <s v="Hyderabad"/>
    <x v="7"/>
    <s v="Board Games"/>
    <x v="31"/>
    <n v="1"/>
    <n v="2950"/>
    <n v="2950"/>
    <x v="0"/>
    <n v="0"/>
    <x v="248"/>
  </r>
  <r>
    <s v="TXN-00318"/>
    <d v="2023-10-18T00:00:00"/>
    <x v="0"/>
    <s v="October"/>
    <x v="2"/>
    <s v="Lahore"/>
    <x v="3"/>
    <s v="Laundry"/>
    <x v="111"/>
    <n v="3"/>
    <n v="3900"/>
    <n v="11700"/>
    <x v="82"/>
    <n v="210.6"/>
    <x v="249"/>
  </r>
  <r>
    <s v="TXN-00319"/>
    <d v="2023-10-25T00:00:00"/>
    <x v="0"/>
    <s v="October"/>
    <x v="1"/>
    <s v="Karachi"/>
    <x v="4"/>
    <s v="Breads"/>
    <x v="108"/>
    <n v="1"/>
    <n v="1050"/>
    <n v="1050"/>
    <x v="0"/>
    <n v="0"/>
    <x v="130"/>
  </r>
  <r>
    <s v="TXN-00320"/>
    <d v="2025-09-25T00:00:00"/>
    <x v="1"/>
    <s v="September"/>
    <x v="1"/>
    <s v="Karachi"/>
    <x v="3"/>
    <s v="Laundry"/>
    <x v="17"/>
    <n v="3"/>
    <n v="2500"/>
    <n v="7500"/>
    <x v="83"/>
    <n v="787.5"/>
    <x v="250"/>
  </r>
  <r>
    <s v="TXN-00321"/>
    <d v="2025-02-27T00:00:00"/>
    <x v="1"/>
    <s v="February"/>
    <x v="0"/>
    <s v="Hyderabad"/>
    <x v="4"/>
    <s v="Cookies"/>
    <x v="53"/>
    <n v="4"/>
    <n v="450"/>
    <n v="1800"/>
    <x v="17"/>
    <n v="88.2"/>
    <x v="251"/>
  </r>
  <r>
    <s v="TXN-00322"/>
    <d v="2025-09-05T00:00:00"/>
    <x v="1"/>
    <s v="September"/>
    <x v="1"/>
    <s v="Karachi"/>
    <x v="2"/>
    <s v="Fruits"/>
    <x v="78"/>
    <n v="3"/>
    <n v="900"/>
    <n v="2700"/>
    <x v="0"/>
    <n v="0"/>
    <x v="152"/>
  </r>
  <r>
    <s v="TXN-00323"/>
    <d v="2025-10-06T00:00:00"/>
    <x v="1"/>
    <s v="October"/>
    <x v="3"/>
    <s v="Islamabad"/>
    <x v="4"/>
    <s v="Savoury"/>
    <x v="125"/>
    <n v="2"/>
    <n v="1000"/>
    <n v="2000"/>
    <x v="34"/>
    <n v="150"/>
    <x v="13"/>
  </r>
  <r>
    <s v="TXN-00324"/>
    <d v="2023-10-17T00:00:00"/>
    <x v="0"/>
    <s v="October"/>
    <x v="3"/>
    <s v="Islamabad"/>
    <x v="3"/>
    <s v="Kitchenware"/>
    <x v="13"/>
    <n v="1"/>
    <n v="600"/>
    <n v="600"/>
    <x v="65"/>
    <n v="31.2"/>
    <x v="252"/>
  </r>
  <r>
    <s v="TXN-00325"/>
    <d v="2024-09-05T00:00:00"/>
    <x v="2"/>
    <s v="September"/>
    <x v="1"/>
    <s v="Karachi"/>
    <x v="3"/>
    <s v="Kitchenware"/>
    <x v="5"/>
    <n v="2"/>
    <n v="1850"/>
    <n v="3700"/>
    <x v="0"/>
    <n v="0"/>
    <x v="129"/>
  </r>
  <r>
    <s v="TXN-00326"/>
    <d v="2025-05-26T00:00:00"/>
    <x v="1"/>
    <s v="May"/>
    <x v="2"/>
    <s v="Lahore"/>
    <x v="3"/>
    <s v="Home Essentials"/>
    <x v="115"/>
    <n v="1"/>
    <n v="1550"/>
    <n v="1550"/>
    <x v="0"/>
    <n v="0"/>
    <x v="41"/>
  </r>
  <r>
    <s v="TXN-00327"/>
    <d v="2024-08-08T00:00:00"/>
    <x v="2"/>
    <s v="August"/>
    <x v="1"/>
    <s v="Karachi"/>
    <x v="2"/>
    <s v="Vegetables"/>
    <x v="81"/>
    <n v="1"/>
    <n v="1050"/>
    <n v="1050"/>
    <x v="84"/>
    <n v="26.25"/>
    <x v="253"/>
  </r>
  <r>
    <s v="TXN-00328"/>
    <d v="2024-06-19T00:00:00"/>
    <x v="2"/>
    <s v="June"/>
    <x v="2"/>
    <s v="Lahore"/>
    <x v="0"/>
    <s v="Spices"/>
    <x v="83"/>
    <n v="3"/>
    <n v="900"/>
    <n v="2700"/>
    <x v="0"/>
    <n v="0"/>
    <x v="152"/>
  </r>
  <r>
    <s v="TXN-00329"/>
    <d v="2024-07-22T00:00:00"/>
    <x v="2"/>
    <s v="July"/>
    <x v="2"/>
    <s v="Lahore"/>
    <x v="2"/>
    <s v="Fruits"/>
    <x v="52"/>
    <n v="3"/>
    <n v="350"/>
    <n v="1050"/>
    <x v="0"/>
    <n v="0"/>
    <x v="130"/>
  </r>
  <r>
    <s v="TXN-00330"/>
    <d v="2024-06-29T00:00:00"/>
    <x v="2"/>
    <s v="June"/>
    <x v="3"/>
    <s v="Islamabad"/>
    <x v="6"/>
    <s v="Footwear"/>
    <x v="114"/>
    <n v="4"/>
    <n v="5500"/>
    <n v="22000"/>
    <x v="85"/>
    <n v="3652"/>
    <x v="254"/>
  </r>
  <r>
    <s v="TXN-00331"/>
    <d v="2023-05-19T00:00:00"/>
    <x v="0"/>
    <s v="May"/>
    <x v="0"/>
    <s v="Hyderabad"/>
    <x v="1"/>
    <s v="Audio &amp; Accessories"/>
    <x v="98"/>
    <n v="1"/>
    <n v="30500"/>
    <n v="30500"/>
    <x v="0"/>
    <n v="0"/>
    <x v="255"/>
  </r>
  <r>
    <s v="TXN-00332"/>
    <d v="2023-10-16T00:00:00"/>
    <x v="0"/>
    <s v="October"/>
    <x v="1"/>
    <s v="Karachi"/>
    <x v="7"/>
    <s v="Board Games"/>
    <x v="20"/>
    <n v="3"/>
    <n v="3750"/>
    <n v="11250"/>
    <x v="86"/>
    <n v="1091.25"/>
    <x v="256"/>
  </r>
  <r>
    <s v="TXN-00333"/>
    <d v="2025-04-23T00:00:00"/>
    <x v="1"/>
    <s v="April"/>
    <x v="0"/>
    <s v="Hyderabad"/>
    <x v="3"/>
    <s v="Kitchenware"/>
    <x v="5"/>
    <n v="1"/>
    <n v="650"/>
    <n v="650"/>
    <x v="0"/>
    <n v="0"/>
    <x v="227"/>
  </r>
  <r>
    <s v="TXN-00334"/>
    <d v="2024-08-07T00:00:00"/>
    <x v="2"/>
    <s v="August"/>
    <x v="1"/>
    <s v="Karachi"/>
    <x v="1"/>
    <s v="Audio &amp; Accessories"/>
    <x v="24"/>
    <n v="2"/>
    <n v="35500"/>
    <n v="71000"/>
    <x v="87"/>
    <n v="9088"/>
    <x v="257"/>
  </r>
  <r>
    <s v="TXN-00335"/>
    <d v="2023-12-22T00:00:00"/>
    <x v="0"/>
    <s v="December"/>
    <x v="0"/>
    <s v="Hyderabad"/>
    <x v="4"/>
    <s v="Cookies"/>
    <x v="90"/>
    <n v="5"/>
    <n v="700"/>
    <n v="3500"/>
    <x v="0"/>
    <n v="0"/>
    <x v="56"/>
  </r>
  <r>
    <s v="TXN-00336"/>
    <d v="2024-07-07T00:00:00"/>
    <x v="2"/>
    <s v="July"/>
    <x v="3"/>
    <s v="Islamabad"/>
    <x v="6"/>
    <s v="Men's Wear"/>
    <x v="122"/>
    <n v="1"/>
    <n v="2600"/>
    <n v="2600"/>
    <x v="88"/>
    <n v="634.4"/>
    <x v="258"/>
  </r>
  <r>
    <s v="TXN-00337"/>
    <d v="2025-09-29T00:00:00"/>
    <x v="1"/>
    <s v="September"/>
    <x v="3"/>
    <s v="Islamabad"/>
    <x v="0"/>
    <s v="Beverages"/>
    <x v="126"/>
    <n v="1"/>
    <n v="1050"/>
    <n v="1050"/>
    <x v="0"/>
    <n v="0"/>
    <x v="130"/>
  </r>
  <r>
    <s v="TXN-00338"/>
    <d v="2023-02-14T00:00:00"/>
    <x v="0"/>
    <s v="February"/>
    <x v="3"/>
    <s v="Islamabad"/>
    <x v="6"/>
    <s v="Men's Wear"/>
    <x v="12"/>
    <n v="1"/>
    <n v="4900"/>
    <n v="4900"/>
    <x v="89"/>
    <n v="950.6"/>
    <x v="259"/>
  </r>
  <r>
    <s v="TXN-00339"/>
    <d v="2023-12-23T00:00:00"/>
    <x v="0"/>
    <s v="December"/>
    <x v="3"/>
    <s v="Islamabad"/>
    <x v="2"/>
    <s v="Fruits"/>
    <x v="28"/>
    <n v="8"/>
    <n v="1200"/>
    <n v="9600"/>
    <x v="0"/>
    <n v="0"/>
    <x v="260"/>
  </r>
  <r>
    <s v="TXN-00340"/>
    <d v="2023-07-10T00:00:00"/>
    <x v="0"/>
    <s v="July"/>
    <x v="2"/>
    <s v="Lahore"/>
    <x v="1"/>
    <s v="Audio &amp; Accessories"/>
    <x v="92"/>
    <n v="2"/>
    <n v="19500"/>
    <n v="39000"/>
    <x v="0"/>
    <n v="0"/>
    <x v="261"/>
  </r>
  <r>
    <s v="TXN-00341"/>
    <d v="2025-01-02T00:00:00"/>
    <x v="1"/>
    <s v="January"/>
    <x v="1"/>
    <s v="Karachi"/>
    <x v="7"/>
    <s v="Educational"/>
    <x v="19"/>
    <n v="1"/>
    <n v="2900"/>
    <n v="2900"/>
    <x v="0"/>
    <n v="0"/>
    <x v="123"/>
  </r>
  <r>
    <s v="TXN-00342"/>
    <d v="2024-10-23T00:00:00"/>
    <x v="2"/>
    <s v="October"/>
    <x v="0"/>
    <s v="Hyderabad"/>
    <x v="7"/>
    <s v="Action Figures"/>
    <x v="121"/>
    <n v="2"/>
    <n v="4050"/>
    <n v="8100"/>
    <x v="53"/>
    <n v="858.6"/>
    <x v="262"/>
  </r>
  <r>
    <s v="TXN-00343"/>
    <d v="2025-08-06T00:00:00"/>
    <x v="1"/>
    <s v="August"/>
    <x v="1"/>
    <s v="Karachi"/>
    <x v="0"/>
    <s v="Packaged Foods"/>
    <x v="73"/>
    <n v="8"/>
    <n v="1900"/>
    <n v="15200"/>
    <x v="0"/>
    <n v="0"/>
    <x v="263"/>
  </r>
  <r>
    <s v="TXN-00344"/>
    <d v="2024-01-14T00:00:00"/>
    <x v="2"/>
    <s v="January"/>
    <x v="0"/>
    <s v="Hyderabad"/>
    <x v="1"/>
    <s v="Audio &amp; Accessories"/>
    <x v="98"/>
    <n v="1"/>
    <n v="41500"/>
    <n v="41500"/>
    <x v="0"/>
    <n v="0"/>
    <x v="264"/>
  </r>
  <r>
    <s v="TXN-00345"/>
    <d v="2023-05-09T00:00:00"/>
    <x v="0"/>
    <s v="May"/>
    <x v="2"/>
    <s v="Lahore"/>
    <x v="1"/>
    <s v="Mobiles &amp; Tablets"/>
    <x v="55"/>
    <n v="1"/>
    <n v="19000"/>
    <n v="19000"/>
    <x v="0"/>
    <n v="0"/>
    <x v="265"/>
  </r>
  <r>
    <s v="TXN-00346"/>
    <d v="2023-05-20T00:00:00"/>
    <x v="0"/>
    <s v="May"/>
    <x v="2"/>
    <s v="Lahore"/>
    <x v="6"/>
    <s v="Women's Wear"/>
    <x v="47"/>
    <n v="1"/>
    <n v="2600"/>
    <n v="2600"/>
    <x v="90"/>
    <n v="501.8"/>
    <x v="266"/>
  </r>
  <r>
    <s v="TXN-00347"/>
    <d v="2023-05-30T00:00:00"/>
    <x v="0"/>
    <s v="May"/>
    <x v="1"/>
    <s v="Karachi"/>
    <x v="0"/>
    <s v="Lentils &amp; Beans"/>
    <x v="26"/>
    <n v="8"/>
    <n v="2300"/>
    <n v="18400"/>
    <x v="0"/>
    <n v="0"/>
    <x v="267"/>
  </r>
  <r>
    <s v="TXN-00348"/>
    <d v="2023-03-11T00:00:00"/>
    <x v="0"/>
    <s v="March"/>
    <x v="1"/>
    <s v="Karachi"/>
    <x v="0"/>
    <s v="Rice &amp; Grains"/>
    <x v="64"/>
    <n v="1"/>
    <n v="550"/>
    <n v="550"/>
    <x v="0"/>
    <n v="0"/>
    <x v="102"/>
  </r>
  <r>
    <s v="TXN-00349"/>
    <d v="2023-07-21T00:00:00"/>
    <x v="0"/>
    <s v="July"/>
    <x v="0"/>
    <s v="Hyderabad"/>
    <x v="7"/>
    <s v="Plush Toys"/>
    <x v="58"/>
    <n v="2"/>
    <n v="4100"/>
    <n v="8200"/>
    <x v="29"/>
    <n v="893.8"/>
    <x v="268"/>
  </r>
  <r>
    <s v="TXN-00350"/>
    <d v="2025-12-18T00:00:00"/>
    <x v="1"/>
    <s v="December"/>
    <x v="2"/>
    <s v="Lahore"/>
    <x v="2"/>
    <s v="Vegetables"/>
    <x v="2"/>
    <n v="5"/>
    <n v="750"/>
    <n v="3750"/>
    <x v="0"/>
    <n v="0"/>
    <x v="89"/>
  </r>
  <r>
    <s v="TXN-00351"/>
    <d v="2025-04-27T00:00:00"/>
    <x v="1"/>
    <s v="April"/>
    <x v="0"/>
    <s v="Hyderabad"/>
    <x v="5"/>
    <s v="Makeup"/>
    <x v="100"/>
    <n v="1"/>
    <n v="3850"/>
    <n v="3850"/>
    <x v="6"/>
    <n v="539"/>
    <x v="269"/>
  </r>
  <r>
    <s v="TXN-00352"/>
    <d v="2024-02-03T00:00:00"/>
    <x v="2"/>
    <s v="February"/>
    <x v="3"/>
    <s v="Islamabad"/>
    <x v="0"/>
    <s v="Lentils &amp; Beans"/>
    <x v="26"/>
    <n v="1"/>
    <n v="950"/>
    <n v="950"/>
    <x v="0"/>
    <n v="0"/>
    <x v="78"/>
  </r>
  <r>
    <s v="TXN-00353"/>
    <d v="2024-03-08T00:00:00"/>
    <x v="2"/>
    <s v="March"/>
    <x v="0"/>
    <s v="Hyderabad"/>
    <x v="0"/>
    <s v="Spices"/>
    <x v="83"/>
    <n v="3"/>
    <n v="360"/>
    <n v="1080"/>
    <x v="91"/>
    <n v="68.040000000000006"/>
    <x v="270"/>
  </r>
  <r>
    <s v="TXN-00354"/>
    <d v="2025-08-21T00:00:00"/>
    <x v="1"/>
    <s v="August"/>
    <x v="3"/>
    <s v="Islamabad"/>
    <x v="0"/>
    <s v="Beverages"/>
    <x v="126"/>
    <n v="4"/>
    <n v="2200"/>
    <n v="8800"/>
    <x v="0"/>
    <n v="0"/>
    <x v="4"/>
  </r>
  <r>
    <s v="TXN-00355"/>
    <d v="2023-06-16T00:00:00"/>
    <x v="0"/>
    <s v="June"/>
    <x v="0"/>
    <s v="Hyderabad"/>
    <x v="2"/>
    <s v="Fruits"/>
    <x v="78"/>
    <n v="10"/>
    <n v="950"/>
    <n v="9500"/>
    <x v="0"/>
    <n v="0"/>
    <x v="271"/>
  </r>
  <r>
    <s v="TXN-00356"/>
    <d v="2025-12-11T00:00:00"/>
    <x v="1"/>
    <s v="December"/>
    <x v="0"/>
    <s v="Hyderabad"/>
    <x v="7"/>
    <s v="Action Figures"/>
    <x v="94"/>
    <n v="2"/>
    <n v="3250"/>
    <n v="6500"/>
    <x v="92"/>
    <n v="1722.5"/>
    <x v="272"/>
  </r>
  <r>
    <s v="TXN-00357"/>
    <d v="2025-12-02T00:00:00"/>
    <x v="1"/>
    <s v="December"/>
    <x v="3"/>
    <s v="Islamabad"/>
    <x v="0"/>
    <s v="Lentils &amp; Beans"/>
    <x v="33"/>
    <n v="3"/>
    <n v="1250"/>
    <n v="3750"/>
    <x v="17"/>
    <n v="183.75"/>
    <x v="273"/>
  </r>
  <r>
    <s v="TXN-00358"/>
    <d v="2023-08-21T00:00:00"/>
    <x v="0"/>
    <s v="August"/>
    <x v="2"/>
    <s v="Lahore"/>
    <x v="4"/>
    <s v="Cakes &amp; Pastries"/>
    <x v="95"/>
    <n v="5"/>
    <n v="850"/>
    <n v="4250"/>
    <x v="0"/>
    <n v="0"/>
    <x v="147"/>
  </r>
  <r>
    <s v="TXN-00359"/>
    <d v="2023-04-02T00:00:00"/>
    <x v="0"/>
    <s v="April"/>
    <x v="1"/>
    <s v="Karachi"/>
    <x v="4"/>
    <s v="Savoury"/>
    <x v="119"/>
    <n v="6"/>
    <n v="850"/>
    <n v="5100"/>
    <x v="0"/>
    <n v="0"/>
    <x v="274"/>
  </r>
  <r>
    <s v="TXN-00360"/>
    <d v="2023-02-21T00:00:00"/>
    <x v="0"/>
    <s v="February"/>
    <x v="2"/>
    <s v="Lahore"/>
    <x v="6"/>
    <s v="Men's Wear"/>
    <x v="50"/>
    <n v="1"/>
    <n v="4950"/>
    <n v="4950"/>
    <x v="0"/>
    <n v="0"/>
    <x v="275"/>
  </r>
  <r>
    <s v="TXN-00361"/>
    <d v="2023-01-24T00:00:00"/>
    <x v="0"/>
    <s v="January"/>
    <x v="0"/>
    <s v="Hyderabad"/>
    <x v="3"/>
    <s v="Cleaning Supplies"/>
    <x v="85"/>
    <n v="1"/>
    <n v="950"/>
    <n v="950"/>
    <x v="0"/>
    <n v="0"/>
    <x v="78"/>
  </r>
  <r>
    <s v="TXN-00362"/>
    <d v="2024-11-27T00:00:00"/>
    <x v="2"/>
    <s v="November"/>
    <x v="0"/>
    <s v="Hyderabad"/>
    <x v="0"/>
    <s v="Rice &amp; Grains"/>
    <x v="23"/>
    <n v="6"/>
    <n v="2400"/>
    <n v="14400"/>
    <x v="0"/>
    <n v="0"/>
    <x v="276"/>
  </r>
  <r>
    <s v="TXN-00363"/>
    <d v="2024-06-27T00:00:00"/>
    <x v="2"/>
    <s v="June"/>
    <x v="0"/>
    <s v="Hyderabad"/>
    <x v="6"/>
    <s v="Kids Wear"/>
    <x v="44"/>
    <n v="2"/>
    <n v="2900"/>
    <n v="5800"/>
    <x v="0"/>
    <n v="0"/>
    <x v="277"/>
  </r>
  <r>
    <s v="TXN-00364"/>
    <d v="2024-05-04T00:00:00"/>
    <x v="2"/>
    <s v="May"/>
    <x v="1"/>
    <s v="Karachi"/>
    <x v="3"/>
    <s v="Laundry"/>
    <x v="116"/>
    <n v="3"/>
    <n v="600"/>
    <n v="1800"/>
    <x v="0"/>
    <n v="0"/>
    <x v="124"/>
  </r>
  <r>
    <s v="TXN-00365"/>
    <d v="2024-11-26T00:00:00"/>
    <x v="2"/>
    <s v="November"/>
    <x v="3"/>
    <s v="Islamabad"/>
    <x v="2"/>
    <s v="Fruits"/>
    <x v="77"/>
    <n v="5"/>
    <n v="550"/>
    <n v="2750"/>
    <x v="75"/>
    <n v="55"/>
    <x v="278"/>
  </r>
  <r>
    <s v="TXN-00366"/>
    <d v="2024-11-01T00:00:00"/>
    <x v="2"/>
    <s v="November"/>
    <x v="0"/>
    <s v="Hyderabad"/>
    <x v="6"/>
    <s v="Men's Wear"/>
    <x v="122"/>
    <n v="1"/>
    <n v="4350"/>
    <n v="4350"/>
    <x v="0"/>
    <n v="0"/>
    <x v="10"/>
  </r>
  <r>
    <s v="TXN-00367"/>
    <d v="2025-07-29T00:00:00"/>
    <x v="1"/>
    <s v="July"/>
    <x v="1"/>
    <s v="Karachi"/>
    <x v="0"/>
    <s v="Cooking Oil"/>
    <x v="127"/>
    <n v="3"/>
    <n v="1250"/>
    <n v="3750"/>
    <x v="93"/>
    <n v="206.25"/>
    <x v="279"/>
  </r>
  <r>
    <s v="TXN-00368"/>
    <d v="2024-01-07T00:00:00"/>
    <x v="2"/>
    <s v="January"/>
    <x v="1"/>
    <s v="Karachi"/>
    <x v="2"/>
    <s v="Dairy"/>
    <x v="37"/>
    <n v="1"/>
    <n v="340"/>
    <n v="340"/>
    <x v="42"/>
    <n v="1.02"/>
    <x v="280"/>
  </r>
  <r>
    <s v="TXN-00369"/>
    <d v="2025-02-10T00:00:00"/>
    <x v="1"/>
    <s v="February"/>
    <x v="2"/>
    <s v="Lahore"/>
    <x v="7"/>
    <s v="Plush Toys"/>
    <x v="11"/>
    <n v="2"/>
    <n v="2700"/>
    <n v="5400"/>
    <x v="94"/>
    <n v="729"/>
    <x v="281"/>
  </r>
  <r>
    <s v="TXN-00370"/>
    <d v="2023-08-31T00:00:00"/>
    <x v="0"/>
    <s v="August"/>
    <x v="2"/>
    <s v="Lahore"/>
    <x v="3"/>
    <s v="Cleaning Supplies"/>
    <x v="22"/>
    <n v="1"/>
    <n v="500"/>
    <n v="500"/>
    <x v="0"/>
    <n v="0"/>
    <x v="168"/>
  </r>
  <r>
    <s v="TXN-00371"/>
    <d v="2024-04-17T00:00:00"/>
    <x v="2"/>
    <s v="April"/>
    <x v="2"/>
    <s v="Lahore"/>
    <x v="0"/>
    <s v="Rice &amp; Grains"/>
    <x v="36"/>
    <n v="1"/>
    <n v="1700"/>
    <n v="1700"/>
    <x v="0"/>
    <n v="0"/>
    <x v="83"/>
  </r>
  <r>
    <s v="TXN-00372"/>
    <d v="2024-07-27T00:00:00"/>
    <x v="2"/>
    <s v="July"/>
    <x v="1"/>
    <s v="Karachi"/>
    <x v="3"/>
    <s v="Cleaning Supplies"/>
    <x v="22"/>
    <n v="4"/>
    <n v="2700"/>
    <n v="10800"/>
    <x v="0"/>
    <n v="0"/>
    <x v="282"/>
  </r>
  <r>
    <s v="TXN-00373"/>
    <d v="2024-04-16T00:00:00"/>
    <x v="2"/>
    <s v="April"/>
    <x v="2"/>
    <s v="Lahore"/>
    <x v="0"/>
    <s v="Packaged Foods"/>
    <x v="10"/>
    <n v="4"/>
    <n v="1950"/>
    <n v="7800"/>
    <x v="0"/>
    <n v="0"/>
    <x v="283"/>
  </r>
  <r>
    <s v="TXN-00374"/>
    <d v="2023-08-20T00:00:00"/>
    <x v="0"/>
    <s v="August"/>
    <x v="0"/>
    <s v="Hyderabad"/>
    <x v="0"/>
    <s v="Beverages"/>
    <x v="27"/>
    <n v="1"/>
    <n v="1400"/>
    <n v="1400"/>
    <x v="0"/>
    <n v="0"/>
    <x v="161"/>
  </r>
  <r>
    <s v="TXN-00375"/>
    <d v="2023-05-10T00:00:00"/>
    <x v="0"/>
    <s v="May"/>
    <x v="3"/>
    <s v="Islamabad"/>
    <x v="0"/>
    <s v="Rice &amp; Grains"/>
    <x v="71"/>
    <n v="2"/>
    <n v="1850"/>
    <n v="3700"/>
    <x v="0"/>
    <n v="0"/>
    <x v="129"/>
  </r>
  <r>
    <s v="TXN-00376"/>
    <d v="2025-07-21T00:00:00"/>
    <x v="1"/>
    <s v="July"/>
    <x v="3"/>
    <s v="Islamabad"/>
    <x v="7"/>
    <s v="Action Figures"/>
    <x v="121"/>
    <n v="4"/>
    <n v="3800"/>
    <n v="15200"/>
    <x v="95"/>
    <n v="1550.3999999999999"/>
    <x v="284"/>
  </r>
  <r>
    <s v="TXN-00377"/>
    <d v="2024-11-09T00:00:00"/>
    <x v="2"/>
    <s v="November"/>
    <x v="2"/>
    <s v="Lahore"/>
    <x v="1"/>
    <s v="Mobiles &amp; Tablets"/>
    <x v="101"/>
    <n v="1"/>
    <n v="46500"/>
    <n v="46500"/>
    <x v="0"/>
    <n v="0"/>
    <x v="285"/>
  </r>
  <r>
    <s v="TXN-00378"/>
    <d v="2023-07-22T00:00:00"/>
    <x v="0"/>
    <s v="July"/>
    <x v="0"/>
    <s v="Hyderabad"/>
    <x v="0"/>
    <s v="Packaged Foods"/>
    <x v="10"/>
    <n v="4"/>
    <n v="1950"/>
    <n v="7800"/>
    <x v="0"/>
    <n v="0"/>
    <x v="283"/>
  </r>
  <r>
    <s v="TXN-00379"/>
    <d v="2024-04-02T00:00:00"/>
    <x v="2"/>
    <s v="April"/>
    <x v="1"/>
    <s v="Karachi"/>
    <x v="7"/>
    <s v="Action Figures"/>
    <x v="94"/>
    <n v="3"/>
    <n v="2850"/>
    <n v="8550"/>
    <x v="0"/>
    <n v="0"/>
    <x v="286"/>
  </r>
  <r>
    <s v="TXN-00380"/>
    <d v="2024-11-13T00:00:00"/>
    <x v="2"/>
    <s v="November"/>
    <x v="2"/>
    <s v="Lahore"/>
    <x v="5"/>
    <s v="Fragrances"/>
    <x v="84"/>
    <n v="1"/>
    <n v="3600"/>
    <n v="3600"/>
    <x v="0"/>
    <n v="0"/>
    <x v="72"/>
  </r>
  <r>
    <s v="TXN-00381"/>
    <d v="2025-06-24T00:00:00"/>
    <x v="1"/>
    <s v="June"/>
    <x v="0"/>
    <s v="Hyderabad"/>
    <x v="3"/>
    <s v="Kitchenware"/>
    <x v="43"/>
    <n v="3"/>
    <n v="1350"/>
    <n v="4050"/>
    <x v="12"/>
    <n v="315.89999999999998"/>
    <x v="287"/>
  </r>
  <r>
    <s v="TXN-00382"/>
    <d v="2024-11-06T00:00:00"/>
    <x v="2"/>
    <s v="November"/>
    <x v="3"/>
    <s v="Islamabad"/>
    <x v="3"/>
    <s v="Laundry"/>
    <x v="17"/>
    <n v="3"/>
    <n v="1700"/>
    <n v="5100"/>
    <x v="96"/>
    <n v="61.2"/>
    <x v="288"/>
  </r>
  <r>
    <s v="TXN-00383"/>
    <d v="2024-03-19T00:00:00"/>
    <x v="2"/>
    <s v="March"/>
    <x v="1"/>
    <s v="Karachi"/>
    <x v="0"/>
    <s v="Lentils &amp; Beans"/>
    <x v="40"/>
    <n v="1"/>
    <n v="2400"/>
    <n v="2400"/>
    <x v="97"/>
    <n v="9.6"/>
    <x v="289"/>
  </r>
  <r>
    <s v="TXN-00384"/>
    <d v="2025-07-21T00:00:00"/>
    <x v="1"/>
    <s v="July"/>
    <x v="1"/>
    <s v="Karachi"/>
    <x v="3"/>
    <s v="Home Essentials"/>
    <x v="115"/>
    <n v="1"/>
    <n v="1650"/>
    <n v="1650"/>
    <x v="0"/>
    <n v="0"/>
    <x v="101"/>
  </r>
  <r>
    <s v="TXN-00385"/>
    <d v="2025-01-15T00:00:00"/>
    <x v="1"/>
    <s v="January"/>
    <x v="0"/>
    <s v="Hyderabad"/>
    <x v="7"/>
    <s v="Board Games"/>
    <x v="31"/>
    <n v="2"/>
    <n v="2050"/>
    <n v="4100"/>
    <x v="98"/>
    <n v="1176.6999999999998"/>
    <x v="290"/>
  </r>
  <r>
    <s v="TXN-00386"/>
    <d v="2025-09-26T00:00:00"/>
    <x v="1"/>
    <s v="September"/>
    <x v="0"/>
    <s v="Hyderabad"/>
    <x v="3"/>
    <s v="Laundry"/>
    <x v="17"/>
    <n v="1"/>
    <n v="3200"/>
    <n v="3200"/>
    <x v="0"/>
    <n v="0"/>
    <x v="291"/>
  </r>
  <r>
    <s v="TXN-00387"/>
    <d v="2025-02-08T00:00:00"/>
    <x v="1"/>
    <s v="February"/>
    <x v="3"/>
    <s v="Islamabad"/>
    <x v="7"/>
    <s v="Action Figures"/>
    <x v="75"/>
    <n v="1"/>
    <n v="1500"/>
    <n v="1500"/>
    <x v="0"/>
    <n v="0"/>
    <x v="75"/>
  </r>
  <r>
    <s v="TXN-00388"/>
    <d v="2025-11-02T00:00:00"/>
    <x v="1"/>
    <s v="November"/>
    <x v="3"/>
    <s v="Islamabad"/>
    <x v="7"/>
    <s v="Action Figures"/>
    <x v="121"/>
    <n v="1"/>
    <n v="4050"/>
    <n v="4050"/>
    <x v="99"/>
    <n v="259.2"/>
    <x v="292"/>
  </r>
  <r>
    <s v="TXN-00389"/>
    <d v="2023-08-31T00:00:00"/>
    <x v="0"/>
    <s v="August"/>
    <x v="2"/>
    <s v="Lahore"/>
    <x v="4"/>
    <s v="Cookies"/>
    <x v="4"/>
    <n v="2"/>
    <n v="900"/>
    <n v="1800"/>
    <x v="11"/>
    <n v="61.2"/>
    <x v="293"/>
  </r>
  <r>
    <s v="TXN-00390"/>
    <d v="2025-06-14T00:00:00"/>
    <x v="1"/>
    <s v="June"/>
    <x v="2"/>
    <s v="Lahore"/>
    <x v="5"/>
    <s v="Skincare"/>
    <x v="128"/>
    <n v="2"/>
    <n v="2900"/>
    <n v="5800"/>
    <x v="0"/>
    <n v="0"/>
    <x v="277"/>
  </r>
  <r>
    <s v="TXN-00391"/>
    <d v="2023-06-22T00:00:00"/>
    <x v="0"/>
    <s v="June"/>
    <x v="2"/>
    <s v="Lahore"/>
    <x v="4"/>
    <s v="Breads"/>
    <x v="67"/>
    <n v="1"/>
    <n v="490"/>
    <n v="490"/>
    <x v="0"/>
    <n v="0"/>
    <x v="294"/>
  </r>
  <r>
    <s v="TXN-00392"/>
    <d v="2024-01-03T00:00:00"/>
    <x v="2"/>
    <s v="January"/>
    <x v="1"/>
    <s v="Karachi"/>
    <x v="2"/>
    <s v="Vegetables"/>
    <x v="76"/>
    <n v="4"/>
    <n v="650"/>
    <n v="2600"/>
    <x v="0"/>
    <n v="0"/>
    <x v="42"/>
  </r>
  <r>
    <s v="TXN-00393"/>
    <d v="2025-02-04T00:00:00"/>
    <x v="1"/>
    <s v="February"/>
    <x v="2"/>
    <s v="Lahore"/>
    <x v="0"/>
    <s v="Spices"/>
    <x v="83"/>
    <n v="1"/>
    <n v="2000"/>
    <n v="2000"/>
    <x v="0"/>
    <n v="0"/>
    <x v="181"/>
  </r>
  <r>
    <s v="TXN-00394"/>
    <d v="2023-07-07T00:00:00"/>
    <x v="0"/>
    <s v="July"/>
    <x v="0"/>
    <s v="Hyderabad"/>
    <x v="0"/>
    <s v="Beverages"/>
    <x v="27"/>
    <n v="3"/>
    <n v="300"/>
    <n v="900"/>
    <x v="42"/>
    <n v="2.7"/>
    <x v="295"/>
  </r>
  <r>
    <s v="TXN-00395"/>
    <d v="2025-03-24T00:00:00"/>
    <x v="1"/>
    <s v="March"/>
    <x v="3"/>
    <s v="Islamabad"/>
    <x v="7"/>
    <s v="Educational"/>
    <x v="129"/>
    <n v="1"/>
    <n v="3200"/>
    <n v="3200"/>
    <x v="24"/>
    <n v="796.8"/>
    <x v="296"/>
  </r>
  <r>
    <s v="TXN-00396"/>
    <d v="2023-01-21T00:00:00"/>
    <x v="0"/>
    <s v="January"/>
    <x v="1"/>
    <s v="Karachi"/>
    <x v="1"/>
    <s v="Audio &amp; Accessories"/>
    <x v="24"/>
    <n v="1"/>
    <n v="43000"/>
    <n v="43000"/>
    <x v="0"/>
    <n v="0"/>
    <x v="297"/>
  </r>
  <r>
    <s v="TXN-00397"/>
    <d v="2025-06-20T00:00:00"/>
    <x v="1"/>
    <s v="June"/>
    <x v="2"/>
    <s v="Lahore"/>
    <x v="2"/>
    <s v="Vegetables"/>
    <x v="56"/>
    <n v="4"/>
    <n v="700"/>
    <n v="2800"/>
    <x v="0"/>
    <n v="0"/>
    <x v="2"/>
  </r>
  <r>
    <s v="TXN-00398"/>
    <d v="2025-05-07T00:00:00"/>
    <x v="1"/>
    <s v="May"/>
    <x v="2"/>
    <s v="Lahore"/>
    <x v="0"/>
    <s v="Cooking Oil"/>
    <x v="130"/>
    <n v="5"/>
    <n v="2400"/>
    <n v="12000"/>
    <x v="0"/>
    <n v="0"/>
    <x v="298"/>
  </r>
  <r>
    <s v="TXN-00399"/>
    <d v="2025-05-05T00:00:00"/>
    <x v="1"/>
    <s v="May"/>
    <x v="1"/>
    <s v="Karachi"/>
    <x v="7"/>
    <s v="Action Figures"/>
    <x v="29"/>
    <n v="1"/>
    <n v="3650"/>
    <n v="3650"/>
    <x v="0"/>
    <n v="0"/>
    <x v="241"/>
  </r>
  <r>
    <s v="TXN-00400"/>
    <d v="2024-09-15T00:00:00"/>
    <x v="2"/>
    <s v="September"/>
    <x v="1"/>
    <s v="Karachi"/>
    <x v="0"/>
    <s v="Packaged Foods"/>
    <x v="93"/>
    <n v="4"/>
    <n v="750"/>
    <n v="3000"/>
    <x v="64"/>
    <n v="30"/>
    <x v="299"/>
  </r>
  <r>
    <s v="TXN-00401"/>
    <d v="2024-02-21T00:00:00"/>
    <x v="2"/>
    <s v="February"/>
    <x v="2"/>
    <s v="Lahore"/>
    <x v="0"/>
    <s v="Beverages"/>
    <x v="126"/>
    <n v="2"/>
    <n v="800"/>
    <n v="1600"/>
    <x v="12"/>
    <n v="124.8"/>
    <x v="300"/>
  </r>
  <r>
    <s v="TXN-00402"/>
    <d v="2024-02-04T00:00:00"/>
    <x v="2"/>
    <s v="February"/>
    <x v="2"/>
    <s v="Lahore"/>
    <x v="1"/>
    <s v="Small Appliances"/>
    <x v="68"/>
    <n v="1"/>
    <n v="24000"/>
    <n v="24000"/>
    <x v="0"/>
    <n v="0"/>
    <x v="301"/>
  </r>
  <r>
    <s v="TXN-00403"/>
    <d v="2025-06-28T00:00:00"/>
    <x v="1"/>
    <s v="June"/>
    <x v="3"/>
    <s v="Islamabad"/>
    <x v="0"/>
    <s v="Beverages"/>
    <x v="74"/>
    <n v="4"/>
    <n v="1200"/>
    <n v="4800"/>
    <x v="65"/>
    <n v="249.6"/>
    <x v="302"/>
  </r>
  <r>
    <s v="TXN-00404"/>
    <d v="2024-05-13T00:00:00"/>
    <x v="2"/>
    <s v="May"/>
    <x v="1"/>
    <s v="Karachi"/>
    <x v="7"/>
    <s v="Plush Toys"/>
    <x v="11"/>
    <n v="3"/>
    <n v="4200"/>
    <n v="12600"/>
    <x v="0"/>
    <n v="0"/>
    <x v="303"/>
  </r>
  <r>
    <s v="TXN-00405"/>
    <d v="2024-05-28T00:00:00"/>
    <x v="2"/>
    <s v="May"/>
    <x v="1"/>
    <s v="Karachi"/>
    <x v="2"/>
    <s v="Fruits"/>
    <x v="28"/>
    <n v="3"/>
    <n v="800"/>
    <n v="2400"/>
    <x v="43"/>
    <n v="50.400000000000006"/>
    <x v="304"/>
  </r>
  <r>
    <s v="TXN-00406"/>
    <d v="2024-08-06T00:00:00"/>
    <x v="2"/>
    <s v="August"/>
    <x v="3"/>
    <s v="Islamabad"/>
    <x v="0"/>
    <s v="Spices"/>
    <x v="83"/>
    <n v="3"/>
    <n v="2500"/>
    <n v="7500"/>
    <x v="38"/>
    <n v="292.5"/>
    <x v="305"/>
  </r>
  <r>
    <s v="TXN-00407"/>
    <d v="2023-10-23T00:00:00"/>
    <x v="0"/>
    <s v="October"/>
    <x v="0"/>
    <s v="Hyderabad"/>
    <x v="4"/>
    <s v="Cakes &amp; Pastries"/>
    <x v="87"/>
    <n v="1"/>
    <n v="1400"/>
    <n v="1400"/>
    <x v="96"/>
    <n v="16.8"/>
    <x v="306"/>
  </r>
  <r>
    <s v="TXN-00408"/>
    <d v="2023-06-17T00:00:00"/>
    <x v="0"/>
    <s v="June"/>
    <x v="3"/>
    <s v="Islamabad"/>
    <x v="4"/>
    <s v="Savoury"/>
    <x v="119"/>
    <n v="5"/>
    <n v="1000"/>
    <n v="5000"/>
    <x v="0"/>
    <n v="0"/>
    <x v="55"/>
  </r>
  <r>
    <s v="TXN-00409"/>
    <d v="2023-11-22T00:00:00"/>
    <x v="0"/>
    <s v="November"/>
    <x v="3"/>
    <s v="Islamabad"/>
    <x v="7"/>
    <s v="Educational"/>
    <x v="45"/>
    <n v="1"/>
    <n v="3400"/>
    <n v="3400"/>
    <x v="0"/>
    <n v="0"/>
    <x v="307"/>
  </r>
  <r>
    <s v="TXN-00410"/>
    <d v="2023-06-03T00:00:00"/>
    <x v="0"/>
    <s v="June"/>
    <x v="0"/>
    <s v="Hyderabad"/>
    <x v="5"/>
    <s v="Personal Care"/>
    <x v="72"/>
    <n v="1"/>
    <n v="2250"/>
    <n v="2250"/>
    <x v="99"/>
    <n v="144"/>
    <x v="308"/>
  </r>
  <r>
    <s v="TXN-00411"/>
    <d v="2023-08-26T00:00:00"/>
    <x v="0"/>
    <s v="August"/>
    <x v="2"/>
    <s v="Lahore"/>
    <x v="1"/>
    <s v="Audio &amp; Accessories"/>
    <x v="24"/>
    <n v="1"/>
    <n v="6000"/>
    <n v="6000"/>
    <x v="0"/>
    <n v="0"/>
    <x v="38"/>
  </r>
  <r>
    <s v="TXN-00412"/>
    <d v="2023-04-09T00:00:00"/>
    <x v="0"/>
    <s v="April"/>
    <x v="1"/>
    <s v="Karachi"/>
    <x v="4"/>
    <s v="Cakes &amp; Pastries"/>
    <x v="70"/>
    <n v="2"/>
    <n v="1700"/>
    <n v="3400"/>
    <x v="0"/>
    <n v="0"/>
    <x v="307"/>
  </r>
  <r>
    <s v="TXN-00413"/>
    <d v="2025-12-16T00:00:00"/>
    <x v="1"/>
    <s v="December"/>
    <x v="1"/>
    <s v="Karachi"/>
    <x v="0"/>
    <s v="Beverages"/>
    <x v="0"/>
    <n v="1"/>
    <n v="650"/>
    <n v="650"/>
    <x v="0"/>
    <n v="0"/>
    <x v="227"/>
  </r>
  <r>
    <s v="TXN-00414"/>
    <d v="2025-07-21T00:00:00"/>
    <x v="1"/>
    <s v="July"/>
    <x v="0"/>
    <s v="Hyderabad"/>
    <x v="0"/>
    <s v="Cooking Oil"/>
    <x v="80"/>
    <n v="3"/>
    <n v="2050"/>
    <n v="6150"/>
    <x v="0"/>
    <n v="0"/>
    <x v="309"/>
  </r>
  <r>
    <s v="TXN-00415"/>
    <d v="2024-10-16T00:00:00"/>
    <x v="2"/>
    <s v="October"/>
    <x v="3"/>
    <s v="Islamabad"/>
    <x v="3"/>
    <s v="Cleaning Supplies"/>
    <x v="131"/>
    <n v="1"/>
    <n v="3650"/>
    <n v="3650"/>
    <x v="0"/>
    <n v="0"/>
    <x v="241"/>
  </r>
  <r>
    <s v="TXN-00416"/>
    <d v="2023-08-28T00:00:00"/>
    <x v="0"/>
    <s v="August"/>
    <x v="0"/>
    <s v="Hyderabad"/>
    <x v="6"/>
    <s v="Women's Wear"/>
    <x v="16"/>
    <n v="1"/>
    <n v="1700"/>
    <n v="1700"/>
    <x v="0"/>
    <n v="0"/>
    <x v="83"/>
  </r>
  <r>
    <s v="TXN-00417"/>
    <d v="2024-08-13T00:00:00"/>
    <x v="2"/>
    <s v="August"/>
    <x v="1"/>
    <s v="Karachi"/>
    <x v="7"/>
    <s v="Action Figures"/>
    <x v="121"/>
    <n v="3"/>
    <n v="3650"/>
    <n v="10950"/>
    <x v="100"/>
    <n v="2507.5500000000002"/>
    <x v="310"/>
  </r>
  <r>
    <s v="TXN-00418"/>
    <d v="2025-05-27T00:00:00"/>
    <x v="1"/>
    <s v="May"/>
    <x v="2"/>
    <s v="Lahore"/>
    <x v="3"/>
    <s v="Laundry"/>
    <x v="116"/>
    <n v="5"/>
    <n v="3250"/>
    <n v="16250"/>
    <x v="0"/>
    <n v="0"/>
    <x v="311"/>
  </r>
  <r>
    <s v="TXN-00419"/>
    <d v="2025-04-18T00:00:00"/>
    <x v="1"/>
    <s v="April"/>
    <x v="0"/>
    <s v="Hyderabad"/>
    <x v="5"/>
    <s v="Makeup"/>
    <x v="59"/>
    <n v="1"/>
    <n v="3800"/>
    <n v="3800"/>
    <x v="0"/>
    <n v="0"/>
    <x v="246"/>
  </r>
  <r>
    <s v="TXN-00420"/>
    <d v="2023-01-07T00:00:00"/>
    <x v="0"/>
    <s v="January"/>
    <x v="0"/>
    <s v="Hyderabad"/>
    <x v="4"/>
    <s v="Breads"/>
    <x v="108"/>
    <n v="5"/>
    <n v="1050"/>
    <n v="5250"/>
    <x v="0"/>
    <n v="0"/>
    <x v="312"/>
  </r>
  <r>
    <s v="TXN-00421"/>
    <d v="2024-06-19T00:00:00"/>
    <x v="2"/>
    <s v="June"/>
    <x v="3"/>
    <s v="Islamabad"/>
    <x v="2"/>
    <s v="Vegetables"/>
    <x v="86"/>
    <n v="2"/>
    <n v="310"/>
    <n v="620"/>
    <x v="0"/>
    <n v="0"/>
    <x v="313"/>
  </r>
  <r>
    <s v="TXN-00422"/>
    <d v="2023-06-21T00:00:00"/>
    <x v="0"/>
    <s v="June"/>
    <x v="2"/>
    <s v="Lahore"/>
    <x v="2"/>
    <s v="Dairy"/>
    <x v="14"/>
    <n v="3"/>
    <n v="700"/>
    <n v="2100"/>
    <x v="101"/>
    <n v="84"/>
    <x v="314"/>
  </r>
  <r>
    <s v="TXN-00423"/>
    <d v="2023-08-16T00:00:00"/>
    <x v="0"/>
    <s v="August"/>
    <x v="2"/>
    <s v="Lahore"/>
    <x v="4"/>
    <s v="Breads"/>
    <x v="67"/>
    <n v="2"/>
    <n v="140"/>
    <n v="280"/>
    <x v="0"/>
    <n v="0"/>
    <x v="315"/>
  </r>
  <r>
    <s v="TXN-00424"/>
    <d v="2025-08-19T00:00:00"/>
    <x v="1"/>
    <s v="August"/>
    <x v="2"/>
    <s v="Lahore"/>
    <x v="4"/>
    <s v="Breads"/>
    <x v="104"/>
    <n v="5"/>
    <n v="800"/>
    <n v="4000"/>
    <x v="0"/>
    <n v="0"/>
    <x v="133"/>
  </r>
  <r>
    <s v="TXN-00425"/>
    <d v="2024-03-25T00:00:00"/>
    <x v="2"/>
    <s v="March"/>
    <x v="0"/>
    <s v="Hyderabad"/>
    <x v="2"/>
    <s v="Meat &amp; Poultry"/>
    <x v="132"/>
    <n v="1"/>
    <n v="750"/>
    <n v="750"/>
    <x v="0"/>
    <n v="0"/>
    <x v="14"/>
  </r>
  <r>
    <s v="TXN-00426"/>
    <d v="2023-01-19T00:00:00"/>
    <x v="0"/>
    <s v="January"/>
    <x v="2"/>
    <s v="Lahore"/>
    <x v="0"/>
    <s v="Lentils &amp; Beans"/>
    <x v="33"/>
    <n v="1"/>
    <n v="1000"/>
    <n v="1000"/>
    <x v="0"/>
    <n v="0"/>
    <x v="230"/>
  </r>
  <r>
    <s v="TXN-00427"/>
    <d v="2025-04-21T00:00:00"/>
    <x v="1"/>
    <s v="April"/>
    <x v="2"/>
    <s v="Lahore"/>
    <x v="6"/>
    <s v="Men's Wear"/>
    <x v="35"/>
    <n v="1"/>
    <n v="1150"/>
    <n v="1150"/>
    <x v="0"/>
    <n v="0"/>
    <x v="316"/>
  </r>
  <r>
    <s v="TXN-00428"/>
    <d v="2025-05-02T00:00:00"/>
    <x v="1"/>
    <s v="May"/>
    <x v="3"/>
    <s v="Islamabad"/>
    <x v="7"/>
    <s v="Educational"/>
    <x v="129"/>
    <n v="1"/>
    <n v="1300"/>
    <n v="1300"/>
    <x v="102"/>
    <n v="366.59999999999997"/>
    <x v="317"/>
  </r>
  <r>
    <s v="TXN-00429"/>
    <d v="2025-01-17T00:00:00"/>
    <x v="1"/>
    <s v="January"/>
    <x v="3"/>
    <s v="Islamabad"/>
    <x v="3"/>
    <s v="Home Essentials"/>
    <x v="102"/>
    <n v="1"/>
    <n v="3750"/>
    <n v="3750"/>
    <x v="0"/>
    <n v="0"/>
    <x v="89"/>
  </r>
  <r>
    <s v="TXN-00430"/>
    <d v="2025-04-05T00:00:00"/>
    <x v="1"/>
    <s v="April"/>
    <x v="0"/>
    <s v="Hyderabad"/>
    <x v="2"/>
    <s v="Vegetables"/>
    <x v="81"/>
    <n v="6"/>
    <n v="700"/>
    <n v="4200"/>
    <x v="0"/>
    <n v="0"/>
    <x v="159"/>
  </r>
  <r>
    <s v="TXN-00431"/>
    <d v="2023-01-13T00:00:00"/>
    <x v="0"/>
    <s v="January"/>
    <x v="3"/>
    <s v="Islamabad"/>
    <x v="2"/>
    <s v="Vegetables"/>
    <x v="56"/>
    <n v="4"/>
    <n v="1100"/>
    <n v="4400"/>
    <x v="103"/>
    <n v="57.199999999999996"/>
    <x v="318"/>
  </r>
  <r>
    <s v="TXN-00432"/>
    <d v="2023-01-11T00:00:00"/>
    <x v="0"/>
    <s v="January"/>
    <x v="3"/>
    <s v="Islamabad"/>
    <x v="3"/>
    <s v="Cleaning Supplies"/>
    <x v="85"/>
    <n v="1"/>
    <n v="900"/>
    <n v="900"/>
    <x v="30"/>
    <n v="43.2"/>
    <x v="319"/>
  </r>
  <r>
    <s v="TXN-00433"/>
    <d v="2024-09-28T00:00:00"/>
    <x v="2"/>
    <s v="September"/>
    <x v="3"/>
    <s v="Islamabad"/>
    <x v="4"/>
    <s v="Breads"/>
    <x v="104"/>
    <n v="2"/>
    <n v="650"/>
    <n v="1300"/>
    <x v="104"/>
    <n v="10.4"/>
    <x v="320"/>
  </r>
  <r>
    <s v="TXN-00434"/>
    <d v="2024-01-01T00:00:00"/>
    <x v="2"/>
    <s v="January"/>
    <x v="3"/>
    <s v="Islamabad"/>
    <x v="0"/>
    <s v="Cooking Oil"/>
    <x v="124"/>
    <n v="1"/>
    <n v="1050"/>
    <n v="1050"/>
    <x v="0"/>
    <n v="0"/>
    <x v="130"/>
  </r>
  <r>
    <s v="TXN-00435"/>
    <d v="2025-06-28T00:00:00"/>
    <x v="1"/>
    <s v="June"/>
    <x v="1"/>
    <s v="Karachi"/>
    <x v="6"/>
    <s v="Footwear"/>
    <x v="114"/>
    <n v="4"/>
    <n v="2900"/>
    <n v="11600"/>
    <x v="34"/>
    <n v="870"/>
    <x v="321"/>
  </r>
  <r>
    <s v="TXN-00436"/>
    <d v="2023-10-21T00:00:00"/>
    <x v="0"/>
    <s v="October"/>
    <x v="2"/>
    <s v="Lahore"/>
    <x v="7"/>
    <s v="Plush Toys"/>
    <x v="11"/>
    <n v="1"/>
    <n v="4500"/>
    <n v="4500"/>
    <x v="0"/>
    <n v="0"/>
    <x v="90"/>
  </r>
  <r>
    <s v="TXN-00437"/>
    <d v="2024-01-15T00:00:00"/>
    <x v="2"/>
    <s v="January"/>
    <x v="1"/>
    <s v="Karachi"/>
    <x v="3"/>
    <s v="Home Essentials"/>
    <x v="18"/>
    <n v="2"/>
    <n v="3750"/>
    <n v="7500"/>
    <x v="0"/>
    <n v="0"/>
    <x v="322"/>
  </r>
  <r>
    <s v="TXN-00438"/>
    <d v="2023-07-24T00:00:00"/>
    <x v="0"/>
    <s v="July"/>
    <x v="2"/>
    <s v="Lahore"/>
    <x v="1"/>
    <s v="Small Appliances"/>
    <x v="21"/>
    <n v="2"/>
    <n v="81500"/>
    <n v="163000"/>
    <x v="0"/>
    <n v="0"/>
    <x v="85"/>
  </r>
  <r>
    <s v="TXN-00439"/>
    <d v="2023-01-08T00:00:00"/>
    <x v="0"/>
    <s v="January"/>
    <x v="3"/>
    <s v="Islamabad"/>
    <x v="3"/>
    <s v="Laundry"/>
    <x v="17"/>
    <n v="4"/>
    <n v="2250"/>
    <n v="9000"/>
    <x v="11"/>
    <n v="306"/>
    <x v="323"/>
  </r>
  <r>
    <s v="TXN-00440"/>
    <d v="2023-07-28T00:00:00"/>
    <x v="0"/>
    <s v="July"/>
    <x v="3"/>
    <s v="Islamabad"/>
    <x v="0"/>
    <s v="Packaged Foods"/>
    <x v="10"/>
    <n v="3"/>
    <n v="400"/>
    <n v="1200"/>
    <x v="0"/>
    <n v="0"/>
    <x v="5"/>
  </r>
  <r>
    <s v="TXN-00441"/>
    <d v="2025-04-09T00:00:00"/>
    <x v="1"/>
    <s v="April"/>
    <x v="2"/>
    <s v="Lahore"/>
    <x v="1"/>
    <s v="Small Appliances"/>
    <x v="21"/>
    <n v="1"/>
    <n v="22500"/>
    <n v="22500"/>
    <x v="0"/>
    <n v="0"/>
    <x v="324"/>
  </r>
  <r>
    <s v="TXN-00442"/>
    <d v="2025-01-31T00:00:00"/>
    <x v="1"/>
    <s v="January"/>
    <x v="2"/>
    <s v="Lahore"/>
    <x v="2"/>
    <s v="Meat &amp; Poultry"/>
    <x v="15"/>
    <n v="1"/>
    <n v="750"/>
    <n v="750"/>
    <x v="0"/>
    <n v="0"/>
    <x v="14"/>
  </r>
  <r>
    <s v="TXN-00443"/>
    <d v="2025-09-23T00:00:00"/>
    <x v="1"/>
    <s v="September"/>
    <x v="0"/>
    <s v="Hyderabad"/>
    <x v="7"/>
    <s v="Educational"/>
    <x v="19"/>
    <n v="1"/>
    <n v="3200"/>
    <n v="3200"/>
    <x v="0"/>
    <n v="0"/>
    <x v="291"/>
  </r>
  <r>
    <s v="TXN-00444"/>
    <d v="2024-12-30T00:00:00"/>
    <x v="2"/>
    <s v="December"/>
    <x v="3"/>
    <s v="Islamabad"/>
    <x v="5"/>
    <s v="Makeup"/>
    <x v="59"/>
    <n v="3"/>
    <n v="1300"/>
    <n v="3900"/>
    <x v="0"/>
    <n v="0"/>
    <x v="187"/>
  </r>
  <r>
    <s v="TXN-00445"/>
    <d v="2025-05-19T00:00:00"/>
    <x v="1"/>
    <s v="May"/>
    <x v="0"/>
    <s v="Hyderabad"/>
    <x v="5"/>
    <s v="Makeup"/>
    <x v="117"/>
    <n v="1"/>
    <n v="2400"/>
    <n v="2400"/>
    <x v="0"/>
    <n v="0"/>
    <x v="68"/>
  </r>
  <r>
    <s v="TXN-00446"/>
    <d v="2025-09-24T00:00:00"/>
    <x v="1"/>
    <s v="September"/>
    <x v="1"/>
    <s v="Karachi"/>
    <x v="3"/>
    <s v="Laundry"/>
    <x v="111"/>
    <n v="1"/>
    <n v="3700"/>
    <n v="3700"/>
    <x v="0"/>
    <n v="0"/>
    <x v="129"/>
  </r>
  <r>
    <s v="TXN-00447"/>
    <d v="2025-12-13T00:00:00"/>
    <x v="1"/>
    <s v="December"/>
    <x v="2"/>
    <s v="Lahore"/>
    <x v="2"/>
    <s v="Vegetables"/>
    <x v="76"/>
    <n v="3"/>
    <n v="900"/>
    <n v="2700"/>
    <x v="75"/>
    <n v="54"/>
    <x v="325"/>
  </r>
  <r>
    <s v="TXN-00448"/>
    <d v="2025-09-25T00:00:00"/>
    <x v="1"/>
    <s v="September"/>
    <x v="1"/>
    <s v="Karachi"/>
    <x v="7"/>
    <s v="Educational"/>
    <x v="45"/>
    <n v="1"/>
    <n v="4150"/>
    <n v="4150"/>
    <x v="105"/>
    <n v="1166.1500000000001"/>
    <x v="326"/>
  </r>
  <r>
    <s v="TXN-00449"/>
    <d v="2023-02-09T00:00:00"/>
    <x v="0"/>
    <s v="February"/>
    <x v="3"/>
    <s v="Islamabad"/>
    <x v="7"/>
    <s v="Action Figures"/>
    <x v="75"/>
    <n v="1"/>
    <n v="2050"/>
    <n v="2050"/>
    <x v="0"/>
    <n v="0"/>
    <x v="20"/>
  </r>
  <r>
    <s v="TXN-00450"/>
    <d v="2025-08-10T00:00:00"/>
    <x v="1"/>
    <s v="August"/>
    <x v="0"/>
    <s v="Hyderabad"/>
    <x v="6"/>
    <s v="Footwear"/>
    <x v="106"/>
    <n v="1"/>
    <n v="3950"/>
    <n v="3950"/>
    <x v="0"/>
    <n v="0"/>
    <x v="207"/>
  </r>
  <r>
    <s v="TXN-00451"/>
    <d v="2025-03-02T00:00:00"/>
    <x v="1"/>
    <s v="March"/>
    <x v="2"/>
    <s v="Lahore"/>
    <x v="4"/>
    <s v="Cookies"/>
    <x v="63"/>
    <n v="3"/>
    <n v="1450"/>
    <n v="4350"/>
    <x v="84"/>
    <n v="108.75"/>
    <x v="327"/>
  </r>
  <r>
    <s v="TXN-00452"/>
    <d v="2024-03-31T00:00:00"/>
    <x v="2"/>
    <s v="March"/>
    <x v="1"/>
    <s v="Karachi"/>
    <x v="2"/>
    <s v="Fruits"/>
    <x v="123"/>
    <n v="4"/>
    <n v="360"/>
    <n v="1440"/>
    <x v="0"/>
    <n v="0"/>
    <x v="61"/>
  </r>
  <r>
    <s v="TXN-00453"/>
    <d v="2024-08-15T00:00:00"/>
    <x v="2"/>
    <s v="August"/>
    <x v="2"/>
    <s v="Lahore"/>
    <x v="1"/>
    <s v="Gadgets"/>
    <x v="42"/>
    <n v="1"/>
    <n v="72000"/>
    <n v="72000"/>
    <x v="0"/>
    <n v="0"/>
    <x v="328"/>
  </r>
  <r>
    <s v="TXN-00454"/>
    <d v="2023-11-14T00:00:00"/>
    <x v="0"/>
    <s v="November"/>
    <x v="0"/>
    <s v="Hyderabad"/>
    <x v="5"/>
    <s v="Makeup"/>
    <x v="54"/>
    <n v="2"/>
    <n v="3000"/>
    <n v="6000"/>
    <x v="0"/>
    <n v="0"/>
    <x v="38"/>
  </r>
  <r>
    <s v="TXN-00455"/>
    <d v="2023-11-01T00:00:00"/>
    <x v="0"/>
    <s v="November"/>
    <x v="1"/>
    <s v="Karachi"/>
    <x v="0"/>
    <s v="Lentils &amp; Beans"/>
    <x v="40"/>
    <n v="3"/>
    <n v="1400"/>
    <n v="4200"/>
    <x v="0"/>
    <n v="0"/>
    <x v="159"/>
  </r>
  <r>
    <s v="TXN-00456"/>
    <d v="2024-04-17T00:00:00"/>
    <x v="2"/>
    <s v="April"/>
    <x v="2"/>
    <s v="Lahore"/>
    <x v="7"/>
    <s v="Action Figures"/>
    <x v="29"/>
    <n v="3"/>
    <n v="2450"/>
    <n v="7350"/>
    <x v="106"/>
    <n v="1558.2"/>
    <x v="329"/>
  </r>
  <r>
    <s v="TXN-00457"/>
    <d v="2023-01-11T00:00:00"/>
    <x v="0"/>
    <s v="January"/>
    <x v="1"/>
    <s v="Karachi"/>
    <x v="1"/>
    <s v="Audio &amp; Accessories"/>
    <x v="98"/>
    <n v="1"/>
    <n v="26000"/>
    <n v="26000"/>
    <x v="0"/>
    <n v="0"/>
    <x v="330"/>
  </r>
  <r>
    <s v="TXN-00458"/>
    <d v="2023-04-25T00:00:00"/>
    <x v="0"/>
    <s v="April"/>
    <x v="2"/>
    <s v="Lahore"/>
    <x v="2"/>
    <s v="Meat &amp; Poultry"/>
    <x v="132"/>
    <n v="5"/>
    <n v="700"/>
    <n v="3500"/>
    <x v="42"/>
    <n v="10.5"/>
    <x v="331"/>
  </r>
  <r>
    <s v="TXN-00459"/>
    <d v="2025-04-01T00:00:00"/>
    <x v="1"/>
    <s v="April"/>
    <x v="1"/>
    <s v="Karachi"/>
    <x v="0"/>
    <s v="Cooking Oil"/>
    <x v="80"/>
    <n v="3"/>
    <n v="1150"/>
    <n v="3450"/>
    <x v="40"/>
    <n v="79.349999999999994"/>
    <x v="332"/>
  </r>
  <r>
    <s v="TXN-00460"/>
    <d v="2023-04-29T00:00:00"/>
    <x v="0"/>
    <s v="April"/>
    <x v="0"/>
    <s v="Hyderabad"/>
    <x v="3"/>
    <s v="Kitchenware"/>
    <x v="13"/>
    <n v="1"/>
    <n v="3850"/>
    <n v="3850"/>
    <x v="0"/>
    <n v="0"/>
    <x v="333"/>
  </r>
  <r>
    <s v="TXN-00461"/>
    <d v="2024-05-12T00:00:00"/>
    <x v="2"/>
    <s v="May"/>
    <x v="1"/>
    <s v="Karachi"/>
    <x v="3"/>
    <s v="Laundry"/>
    <x v="116"/>
    <n v="3"/>
    <n v="1100"/>
    <n v="3300"/>
    <x v="0"/>
    <n v="0"/>
    <x v="213"/>
  </r>
  <r>
    <s v="TXN-00462"/>
    <d v="2025-01-14T00:00:00"/>
    <x v="1"/>
    <s v="January"/>
    <x v="0"/>
    <s v="Hyderabad"/>
    <x v="0"/>
    <s v="Spices"/>
    <x v="109"/>
    <n v="5"/>
    <n v="1000"/>
    <n v="5000"/>
    <x v="0"/>
    <n v="0"/>
    <x v="55"/>
  </r>
  <r>
    <s v="TXN-00463"/>
    <d v="2024-07-27T00:00:00"/>
    <x v="2"/>
    <s v="July"/>
    <x v="2"/>
    <s v="Lahore"/>
    <x v="0"/>
    <s v="Packaged Foods"/>
    <x v="10"/>
    <n v="4"/>
    <n v="550"/>
    <n v="2200"/>
    <x v="107"/>
    <n v="90.2"/>
    <x v="334"/>
  </r>
  <r>
    <s v="TXN-00464"/>
    <d v="2024-12-18T00:00:00"/>
    <x v="2"/>
    <s v="December"/>
    <x v="0"/>
    <s v="Hyderabad"/>
    <x v="1"/>
    <s v="Audio &amp; Accessories"/>
    <x v="24"/>
    <n v="1"/>
    <n v="77500"/>
    <n v="77500"/>
    <x v="0"/>
    <n v="0"/>
    <x v="335"/>
  </r>
  <r>
    <s v="TXN-00465"/>
    <d v="2023-10-07T00:00:00"/>
    <x v="0"/>
    <s v="October"/>
    <x v="0"/>
    <s v="Hyderabad"/>
    <x v="0"/>
    <s v="Lentils &amp; Beans"/>
    <x v="60"/>
    <n v="1"/>
    <n v="1350"/>
    <n v="1350"/>
    <x v="0"/>
    <n v="0"/>
    <x v="31"/>
  </r>
  <r>
    <s v="TXN-00466"/>
    <d v="2024-08-28T00:00:00"/>
    <x v="2"/>
    <s v="August"/>
    <x v="1"/>
    <s v="Karachi"/>
    <x v="4"/>
    <s v="Breads"/>
    <x v="67"/>
    <n v="5"/>
    <n v="1050"/>
    <n v="5250"/>
    <x v="0"/>
    <n v="0"/>
    <x v="312"/>
  </r>
  <r>
    <s v="TXN-00467"/>
    <d v="2025-02-24T00:00:00"/>
    <x v="1"/>
    <s v="February"/>
    <x v="3"/>
    <s v="Islamabad"/>
    <x v="0"/>
    <s v="Spices"/>
    <x v="34"/>
    <n v="5"/>
    <n v="1650"/>
    <n v="8250"/>
    <x v="0"/>
    <n v="0"/>
    <x v="336"/>
  </r>
  <r>
    <s v="TXN-00468"/>
    <d v="2023-12-30T00:00:00"/>
    <x v="0"/>
    <s v="December"/>
    <x v="3"/>
    <s v="Islamabad"/>
    <x v="4"/>
    <s v="Cookies"/>
    <x v="53"/>
    <n v="4"/>
    <n v="350"/>
    <n v="1400"/>
    <x v="19"/>
    <n v="133"/>
    <x v="337"/>
  </r>
  <r>
    <s v="TXN-00469"/>
    <d v="2024-11-19T00:00:00"/>
    <x v="2"/>
    <s v="November"/>
    <x v="0"/>
    <s v="Hyderabad"/>
    <x v="5"/>
    <s v="Makeup"/>
    <x v="100"/>
    <n v="3"/>
    <n v="500"/>
    <n v="1500"/>
    <x v="0"/>
    <n v="0"/>
    <x v="75"/>
  </r>
  <r>
    <s v="TXN-00470"/>
    <d v="2025-05-24T00:00:00"/>
    <x v="1"/>
    <s v="May"/>
    <x v="1"/>
    <s v="Karachi"/>
    <x v="7"/>
    <s v="Plush Toys"/>
    <x v="9"/>
    <n v="1"/>
    <n v="4100"/>
    <n v="4100"/>
    <x v="108"/>
    <n v="1127.5"/>
    <x v="338"/>
  </r>
  <r>
    <s v="TXN-00471"/>
    <d v="2023-09-07T00:00:00"/>
    <x v="0"/>
    <s v="September"/>
    <x v="0"/>
    <s v="Hyderabad"/>
    <x v="4"/>
    <s v="Cookies"/>
    <x v="53"/>
    <n v="3"/>
    <n v="500"/>
    <n v="1500"/>
    <x v="0"/>
    <n v="0"/>
    <x v="75"/>
  </r>
  <r>
    <s v="TXN-00472"/>
    <d v="2025-10-25T00:00:00"/>
    <x v="1"/>
    <s v="October"/>
    <x v="3"/>
    <s v="Islamabad"/>
    <x v="1"/>
    <s v="Mobiles &amp; Tablets"/>
    <x v="101"/>
    <n v="1"/>
    <n v="28000"/>
    <n v="28000"/>
    <x v="109"/>
    <n v="3024"/>
    <x v="339"/>
  </r>
  <r>
    <s v="TXN-00473"/>
    <d v="2024-09-11T00:00:00"/>
    <x v="2"/>
    <s v="September"/>
    <x v="2"/>
    <s v="Lahore"/>
    <x v="7"/>
    <s v="Educational"/>
    <x v="113"/>
    <n v="1"/>
    <n v="3800"/>
    <n v="3800"/>
    <x v="110"/>
    <n v="509.20000000000005"/>
    <x v="340"/>
  </r>
  <r>
    <s v="TXN-00474"/>
    <d v="2023-04-05T00:00:00"/>
    <x v="0"/>
    <s v="April"/>
    <x v="3"/>
    <s v="Islamabad"/>
    <x v="0"/>
    <s v="Spices"/>
    <x v="82"/>
    <n v="1"/>
    <n v="1950"/>
    <n v="1950"/>
    <x v="0"/>
    <n v="0"/>
    <x v="105"/>
  </r>
  <r>
    <s v="TXN-00475"/>
    <d v="2025-01-04T00:00:00"/>
    <x v="1"/>
    <s v="January"/>
    <x v="3"/>
    <s v="Islamabad"/>
    <x v="6"/>
    <s v="Men's Wear"/>
    <x v="50"/>
    <n v="1"/>
    <n v="1050"/>
    <n v="1050"/>
    <x v="0"/>
    <n v="0"/>
    <x v="130"/>
  </r>
  <r>
    <s v="TXN-00476"/>
    <d v="2025-08-16T00:00:00"/>
    <x v="1"/>
    <s v="August"/>
    <x v="3"/>
    <s v="Islamabad"/>
    <x v="1"/>
    <s v="Mobiles &amp; Tablets"/>
    <x v="1"/>
    <n v="2"/>
    <n v="84000"/>
    <n v="168000"/>
    <x v="0"/>
    <n v="0"/>
    <x v="341"/>
  </r>
  <r>
    <s v="TXN-00477"/>
    <d v="2024-10-25T00:00:00"/>
    <x v="2"/>
    <s v="October"/>
    <x v="2"/>
    <s v="Lahore"/>
    <x v="7"/>
    <s v="Action Figures"/>
    <x v="121"/>
    <n v="1"/>
    <n v="2300"/>
    <n v="2300"/>
    <x v="0"/>
    <n v="0"/>
    <x v="52"/>
  </r>
  <r>
    <s v="TXN-00478"/>
    <d v="2023-10-23T00:00:00"/>
    <x v="0"/>
    <s v="October"/>
    <x v="0"/>
    <s v="Hyderabad"/>
    <x v="3"/>
    <s v="Laundry"/>
    <x v="17"/>
    <n v="3"/>
    <n v="2000"/>
    <n v="6000"/>
    <x v="111"/>
    <n v="114"/>
    <x v="342"/>
  </r>
  <r>
    <s v="TXN-00479"/>
    <d v="2025-12-09T00:00:00"/>
    <x v="1"/>
    <s v="December"/>
    <x v="1"/>
    <s v="Karachi"/>
    <x v="0"/>
    <s v="Spices"/>
    <x v="109"/>
    <n v="2"/>
    <n v="1350"/>
    <n v="2700"/>
    <x v="75"/>
    <n v="54"/>
    <x v="325"/>
  </r>
  <r>
    <s v="TXN-00480"/>
    <d v="2024-03-19T00:00:00"/>
    <x v="2"/>
    <s v="March"/>
    <x v="2"/>
    <s v="Lahore"/>
    <x v="0"/>
    <s v="Cooking Oil"/>
    <x v="80"/>
    <n v="3"/>
    <n v="1350"/>
    <n v="4050"/>
    <x v="0"/>
    <n v="0"/>
    <x v="155"/>
  </r>
  <r>
    <s v="TXN-00481"/>
    <d v="2023-04-24T00:00:00"/>
    <x v="0"/>
    <s v="April"/>
    <x v="1"/>
    <s v="Karachi"/>
    <x v="2"/>
    <s v="Meat &amp; Poultry"/>
    <x v="15"/>
    <n v="4"/>
    <n v="850"/>
    <n v="3400"/>
    <x v="103"/>
    <n v="44.199999999999996"/>
    <x v="343"/>
  </r>
  <r>
    <s v="TXN-00482"/>
    <d v="2025-03-16T00:00:00"/>
    <x v="1"/>
    <s v="March"/>
    <x v="0"/>
    <s v="Hyderabad"/>
    <x v="0"/>
    <s v="Beverages"/>
    <x v="0"/>
    <n v="3"/>
    <n v="1400"/>
    <n v="4200"/>
    <x v="0"/>
    <n v="0"/>
    <x v="159"/>
  </r>
  <r>
    <s v="TXN-00483"/>
    <d v="2024-06-28T00:00:00"/>
    <x v="2"/>
    <s v="June"/>
    <x v="3"/>
    <s v="Islamabad"/>
    <x v="6"/>
    <s v="Footwear"/>
    <x v="106"/>
    <n v="1"/>
    <n v="1400"/>
    <n v="1400"/>
    <x v="112"/>
    <n v="340.2"/>
    <x v="344"/>
  </r>
  <r>
    <s v="TXN-00484"/>
    <d v="2023-05-18T00:00:00"/>
    <x v="0"/>
    <s v="May"/>
    <x v="1"/>
    <s v="Karachi"/>
    <x v="7"/>
    <s v="Plush Toys"/>
    <x v="9"/>
    <n v="1"/>
    <n v="3700"/>
    <n v="3700"/>
    <x v="0"/>
    <n v="0"/>
    <x v="129"/>
  </r>
  <r>
    <s v="TXN-00485"/>
    <d v="2025-01-24T00:00:00"/>
    <x v="1"/>
    <s v="January"/>
    <x v="0"/>
    <s v="Hyderabad"/>
    <x v="1"/>
    <s v="Gadgets"/>
    <x v="99"/>
    <n v="1"/>
    <n v="30500"/>
    <n v="30500"/>
    <x v="113"/>
    <n v="3416"/>
    <x v="345"/>
  </r>
  <r>
    <s v="TXN-00486"/>
    <d v="2025-03-16T00:00:00"/>
    <x v="1"/>
    <s v="March"/>
    <x v="3"/>
    <s v="Islamabad"/>
    <x v="0"/>
    <s v="Lentils &amp; Beans"/>
    <x v="40"/>
    <n v="4"/>
    <n v="420"/>
    <n v="1680"/>
    <x v="82"/>
    <n v="30.24"/>
    <x v="346"/>
  </r>
  <r>
    <s v="TXN-00487"/>
    <d v="2023-12-01T00:00:00"/>
    <x v="0"/>
    <s v="December"/>
    <x v="2"/>
    <s v="Lahore"/>
    <x v="7"/>
    <s v="Plush Toys"/>
    <x v="11"/>
    <n v="1"/>
    <n v="2900"/>
    <n v="2900"/>
    <x v="114"/>
    <n v="278.40000000000003"/>
    <x v="347"/>
  </r>
  <r>
    <s v="TXN-00488"/>
    <d v="2025-09-11T00:00:00"/>
    <x v="1"/>
    <s v="September"/>
    <x v="3"/>
    <s v="Islamabad"/>
    <x v="6"/>
    <s v="Men's Wear"/>
    <x v="35"/>
    <n v="1"/>
    <n v="1100"/>
    <n v="1100"/>
    <x v="0"/>
    <n v="0"/>
    <x v="96"/>
  </r>
  <r>
    <s v="TXN-00489"/>
    <d v="2024-12-04T00:00:00"/>
    <x v="2"/>
    <s v="December"/>
    <x v="3"/>
    <s v="Islamabad"/>
    <x v="6"/>
    <s v="Men's Wear"/>
    <x v="122"/>
    <n v="1"/>
    <n v="2150"/>
    <n v="2150"/>
    <x v="115"/>
    <n v="255.85"/>
    <x v="348"/>
  </r>
  <r>
    <s v="TXN-00490"/>
    <d v="2023-08-07T00:00:00"/>
    <x v="0"/>
    <s v="August"/>
    <x v="0"/>
    <s v="Hyderabad"/>
    <x v="4"/>
    <s v="Cakes &amp; Pastries"/>
    <x v="70"/>
    <n v="10"/>
    <n v="800"/>
    <n v="8000"/>
    <x v="32"/>
    <n v="344"/>
    <x v="349"/>
  </r>
  <r>
    <s v="TXN-00491"/>
    <d v="2023-04-01T00:00:00"/>
    <x v="0"/>
    <s v="April"/>
    <x v="1"/>
    <s v="Karachi"/>
    <x v="0"/>
    <s v="Packaged Foods"/>
    <x v="73"/>
    <n v="1"/>
    <n v="950"/>
    <n v="950"/>
    <x v="116"/>
    <n v="31.35"/>
    <x v="350"/>
  </r>
  <r>
    <s v="TXN-00492"/>
    <d v="2023-06-18T00:00:00"/>
    <x v="0"/>
    <s v="June"/>
    <x v="1"/>
    <s v="Karachi"/>
    <x v="4"/>
    <s v="Breads"/>
    <x v="104"/>
    <n v="3"/>
    <n v="1450"/>
    <n v="4350"/>
    <x v="0"/>
    <n v="0"/>
    <x v="10"/>
  </r>
  <r>
    <s v="TXN-00493"/>
    <d v="2023-10-20T00:00:00"/>
    <x v="0"/>
    <s v="October"/>
    <x v="1"/>
    <s v="Karachi"/>
    <x v="0"/>
    <s v="Spices"/>
    <x v="109"/>
    <n v="4"/>
    <n v="1000"/>
    <n v="4000"/>
    <x v="0"/>
    <n v="0"/>
    <x v="133"/>
  </r>
  <r>
    <s v="TXN-00494"/>
    <d v="2023-04-05T00:00:00"/>
    <x v="0"/>
    <s v="April"/>
    <x v="1"/>
    <s v="Karachi"/>
    <x v="3"/>
    <s v="Home Essentials"/>
    <x v="102"/>
    <n v="1"/>
    <n v="600"/>
    <n v="600"/>
    <x v="0"/>
    <n v="0"/>
    <x v="140"/>
  </r>
  <r>
    <s v="TXN-00495"/>
    <d v="2025-10-07T00:00:00"/>
    <x v="1"/>
    <s v="October"/>
    <x v="2"/>
    <s v="Lahore"/>
    <x v="7"/>
    <s v="Educational"/>
    <x v="113"/>
    <n v="3"/>
    <n v="3150"/>
    <n v="9450"/>
    <x v="117"/>
    <n v="2192.4"/>
    <x v="351"/>
  </r>
  <r>
    <s v="TXN-00496"/>
    <d v="2023-03-05T00:00:00"/>
    <x v="0"/>
    <s v="March"/>
    <x v="0"/>
    <s v="Hyderabad"/>
    <x v="3"/>
    <s v="Laundry"/>
    <x v="17"/>
    <n v="1"/>
    <n v="3350"/>
    <n v="3350"/>
    <x v="64"/>
    <n v="33.5"/>
    <x v="352"/>
  </r>
  <r>
    <s v="TXN-00497"/>
    <d v="2025-11-23T00:00:00"/>
    <x v="1"/>
    <s v="November"/>
    <x v="0"/>
    <s v="Hyderabad"/>
    <x v="0"/>
    <s v="Spices"/>
    <x v="83"/>
    <n v="3"/>
    <n v="500"/>
    <n v="1500"/>
    <x v="0"/>
    <n v="0"/>
    <x v="75"/>
  </r>
  <r>
    <s v="TXN-00498"/>
    <d v="2023-01-16T00:00:00"/>
    <x v="0"/>
    <s v="January"/>
    <x v="2"/>
    <s v="Lahore"/>
    <x v="3"/>
    <s v="Laundry"/>
    <x v="111"/>
    <n v="1"/>
    <n v="3500"/>
    <n v="3500"/>
    <x v="96"/>
    <n v="42"/>
    <x v="353"/>
  </r>
  <r>
    <s v="TXN-00499"/>
    <d v="2023-03-25T00:00:00"/>
    <x v="0"/>
    <s v="March"/>
    <x v="2"/>
    <s v="Lahore"/>
    <x v="6"/>
    <s v="Women's Wear"/>
    <x v="38"/>
    <n v="1"/>
    <n v="4850"/>
    <n v="4850"/>
    <x v="35"/>
    <n v="354.04999999999995"/>
    <x v="354"/>
  </r>
  <r>
    <s v="TXN-00500"/>
    <d v="2024-01-05T00:00:00"/>
    <x v="2"/>
    <s v="January"/>
    <x v="1"/>
    <s v="Karachi"/>
    <x v="5"/>
    <s v="Personal Care"/>
    <x v="32"/>
    <n v="1"/>
    <n v="4200"/>
    <n v="4200"/>
    <x v="0"/>
    <n v="0"/>
    <x v="159"/>
  </r>
  <r>
    <s v="TXN-00501"/>
    <d v="2025-07-24T00:00:00"/>
    <x v="1"/>
    <s v="July"/>
    <x v="3"/>
    <s v="Islamabad"/>
    <x v="7"/>
    <s v="Board Games"/>
    <x v="88"/>
    <n v="2"/>
    <n v="3550"/>
    <n v="7100"/>
    <x v="0"/>
    <n v="0"/>
    <x v="355"/>
  </r>
  <r>
    <s v="TXN-00502"/>
    <d v="2024-04-06T00:00:00"/>
    <x v="2"/>
    <s v="April"/>
    <x v="2"/>
    <s v="Lahore"/>
    <x v="4"/>
    <s v="Cookies"/>
    <x v="53"/>
    <n v="8"/>
    <n v="1050"/>
    <n v="8400"/>
    <x v="0"/>
    <n v="0"/>
    <x v="178"/>
  </r>
  <r>
    <s v="TXN-00503"/>
    <d v="2025-07-23T00:00:00"/>
    <x v="1"/>
    <s v="July"/>
    <x v="3"/>
    <s v="Islamabad"/>
    <x v="5"/>
    <s v="Fragrances"/>
    <x v="133"/>
    <n v="2"/>
    <n v="4350"/>
    <n v="8700"/>
    <x v="0"/>
    <n v="0"/>
    <x v="356"/>
  </r>
  <r>
    <s v="TXN-00504"/>
    <d v="2023-03-02T00:00:00"/>
    <x v="0"/>
    <s v="March"/>
    <x v="3"/>
    <s v="Islamabad"/>
    <x v="6"/>
    <s v="Footwear"/>
    <x v="106"/>
    <n v="1"/>
    <n v="2600"/>
    <n v="2600"/>
    <x v="0"/>
    <n v="0"/>
    <x v="42"/>
  </r>
  <r>
    <s v="TXN-00505"/>
    <d v="2023-01-17T00:00:00"/>
    <x v="0"/>
    <s v="January"/>
    <x v="2"/>
    <s v="Lahore"/>
    <x v="2"/>
    <s v="Dairy"/>
    <x v="14"/>
    <n v="2"/>
    <n v="1000"/>
    <n v="2000"/>
    <x v="0"/>
    <n v="0"/>
    <x v="181"/>
  </r>
  <r>
    <s v="TXN-00506"/>
    <d v="2023-11-19T00:00:00"/>
    <x v="0"/>
    <s v="November"/>
    <x v="0"/>
    <s v="Hyderabad"/>
    <x v="4"/>
    <s v="Cookies"/>
    <x v="53"/>
    <n v="3"/>
    <n v="500"/>
    <n v="1500"/>
    <x v="0"/>
    <n v="0"/>
    <x v="75"/>
  </r>
  <r>
    <s v="TXN-00507"/>
    <d v="2024-06-14T00:00:00"/>
    <x v="2"/>
    <s v="June"/>
    <x v="1"/>
    <s v="Karachi"/>
    <x v="7"/>
    <s v="Plush Toys"/>
    <x v="91"/>
    <n v="1"/>
    <n v="2000"/>
    <n v="2000"/>
    <x v="0"/>
    <n v="0"/>
    <x v="181"/>
  </r>
  <r>
    <s v="TXN-00508"/>
    <d v="2025-02-12T00:00:00"/>
    <x v="1"/>
    <s v="February"/>
    <x v="2"/>
    <s v="Lahore"/>
    <x v="0"/>
    <s v="Lentils &amp; Beans"/>
    <x v="40"/>
    <n v="8"/>
    <n v="1400"/>
    <n v="11200"/>
    <x v="0"/>
    <n v="0"/>
    <x v="357"/>
  </r>
  <r>
    <s v="TXN-00509"/>
    <d v="2024-07-31T00:00:00"/>
    <x v="2"/>
    <s v="July"/>
    <x v="0"/>
    <s v="Hyderabad"/>
    <x v="5"/>
    <s v="Skincare"/>
    <x v="79"/>
    <n v="1"/>
    <n v="2450"/>
    <n v="2450"/>
    <x v="26"/>
    <n v="200.9"/>
    <x v="64"/>
  </r>
  <r>
    <s v="TXN-00510"/>
    <d v="2025-03-17T00:00:00"/>
    <x v="1"/>
    <s v="March"/>
    <x v="3"/>
    <s v="Islamabad"/>
    <x v="1"/>
    <s v="Audio &amp; Accessories"/>
    <x v="92"/>
    <n v="1"/>
    <n v="51000"/>
    <n v="51000"/>
    <x v="0"/>
    <n v="0"/>
    <x v="358"/>
  </r>
  <r>
    <s v="TXN-00511"/>
    <d v="2024-06-18T00:00:00"/>
    <x v="2"/>
    <s v="June"/>
    <x v="0"/>
    <s v="Hyderabad"/>
    <x v="0"/>
    <s v="Rice &amp; Grains"/>
    <x v="71"/>
    <n v="10"/>
    <n v="470"/>
    <n v="4700"/>
    <x v="0"/>
    <n v="0"/>
    <x v="359"/>
  </r>
  <r>
    <s v="TXN-00512"/>
    <d v="2025-09-07T00:00:00"/>
    <x v="1"/>
    <s v="September"/>
    <x v="3"/>
    <s v="Islamabad"/>
    <x v="5"/>
    <s v="Makeup"/>
    <x v="117"/>
    <n v="2"/>
    <n v="3050"/>
    <n v="6100"/>
    <x v="0"/>
    <n v="0"/>
    <x v="12"/>
  </r>
  <r>
    <s v="TXN-00513"/>
    <d v="2025-02-20T00:00:00"/>
    <x v="1"/>
    <s v="February"/>
    <x v="3"/>
    <s v="Islamabad"/>
    <x v="2"/>
    <s v="Fruits"/>
    <x v="28"/>
    <n v="1"/>
    <n v="900"/>
    <n v="900"/>
    <x v="0"/>
    <n v="0"/>
    <x v="99"/>
  </r>
  <r>
    <s v="TXN-00514"/>
    <d v="2023-03-29T00:00:00"/>
    <x v="0"/>
    <s v="March"/>
    <x v="2"/>
    <s v="Lahore"/>
    <x v="1"/>
    <s v="Mobiles &amp; Tablets"/>
    <x v="101"/>
    <n v="1"/>
    <n v="54500"/>
    <n v="54500"/>
    <x v="113"/>
    <n v="6104"/>
    <x v="360"/>
  </r>
  <r>
    <s v="TXN-00515"/>
    <d v="2024-08-27T00:00:00"/>
    <x v="2"/>
    <s v="August"/>
    <x v="1"/>
    <s v="Karachi"/>
    <x v="1"/>
    <s v="Mobiles &amp; Tablets"/>
    <x v="1"/>
    <n v="1"/>
    <n v="28500"/>
    <n v="28500"/>
    <x v="0"/>
    <n v="0"/>
    <x v="361"/>
  </r>
  <r>
    <s v="TXN-00516"/>
    <d v="2025-07-24T00:00:00"/>
    <x v="1"/>
    <s v="July"/>
    <x v="2"/>
    <s v="Lahore"/>
    <x v="1"/>
    <s v="Mobiles &amp; Tablets"/>
    <x v="69"/>
    <n v="1"/>
    <n v="79500"/>
    <n v="79500"/>
    <x v="0"/>
    <n v="0"/>
    <x v="362"/>
  </r>
  <r>
    <s v="TXN-00517"/>
    <d v="2024-01-09T00:00:00"/>
    <x v="2"/>
    <s v="January"/>
    <x v="2"/>
    <s v="Lahore"/>
    <x v="5"/>
    <s v="Makeup"/>
    <x v="100"/>
    <n v="3"/>
    <n v="2300"/>
    <n v="6900"/>
    <x v="0"/>
    <n v="0"/>
    <x v="363"/>
  </r>
  <r>
    <s v="TXN-00518"/>
    <d v="2025-07-03T00:00:00"/>
    <x v="1"/>
    <s v="July"/>
    <x v="3"/>
    <s v="Islamabad"/>
    <x v="3"/>
    <s v="Kitchenware"/>
    <x v="5"/>
    <n v="1"/>
    <n v="1000"/>
    <n v="1000"/>
    <x v="63"/>
    <n v="98"/>
    <x v="364"/>
  </r>
  <r>
    <s v="TXN-00519"/>
    <d v="2023-09-17T00:00:00"/>
    <x v="0"/>
    <s v="September"/>
    <x v="1"/>
    <s v="Karachi"/>
    <x v="3"/>
    <s v="Cleaning Supplies"/>
    <x v="22"/>
    <n v="1"/>
    <n v="750"/>
    <n v="750"/>
    <x v="0"/>
    <n v="0"/>
    <x v="14"/>
  </r>
  <r>
    <s v="TXN-00520"/>
    <d v="2024-01-19T00:00:00"/>
    <x v="2"/>
    <s v="January"/>
    <x v="3"/>
    <s v="Islamabad"/>
    <x v="0"/>
    <s v="Beverages"/>
    <x v="27"/>
    <n v="3"/>
    <n v="380"/>
    <n v="1140"/>
    <x v="118"/>
    <n v="39.900000000000006"/>
    <x v="365"/>
  </r>
  <r>
    <s v="TXN-00521"/>
    <d v="2025-12-10T00:00:00"/>
    <x v="1"/>
    <s v="December"/>
    <x v="3"/>
    <s v="Islamabad"/>
    <x v="1"/>
    <s v="Mobiles &amp; Tablets"/>
    <x v="69"/>
    <n v="1"/>
    <n v="35500"/>
    <n v="35500"/>
    <x v="119"/>
    <n v="2698"/>
    <x v="366"/>
  </r>
  <r>
    <s v="TXN-00522"/>
    <d v="2025-10-29T00:00:00"/>
    <x v="1"/>
    <s v="October"/>
    <x v="0"/>
    <s v="Hyderabad"/>
    <x v="5"/>
    <s v="Personal Care"/>
    <x v="32"/>
    <n v="4"/>
    <n v="3200"/>
    <n v="12800"/>
    <x v="120"/>
    <n v="281.59999999999997"/>
    <x v="367"/>
  </r>
  <r>
    <s v="TXN-00523"/>
    <d v="2023-07-29T00:00:00"/>
    <x v="0"/>
    <s v="July"/>
    <x v="3"/>
    <s v="Islamabad"/>
    <x v="2"/>
    <s v="Fruits"/>
    <x v="77"/>
    <n v="2"/>
    <n v="210"/>
    <n v="420"/>
    <x v="104"/>
    <n v="3.36"/>
    <x v="368"/>
  </r>
  <r>
    <s v="TXN-00524"/>
    <d v="2024-01-13T00:00:00"/>
    <x v="2"/>
    <s v="January"/>
    <x v="1"/>
    <s v="Karachi"/>
    <x v="3"/>
    <s v="Laundry"/>
    <x v="17"/>
    <n v="1"/>
    <n v="550"/>
    <n v="550"/>
    <x v="73"/>
    <n v="33.549999999999997"/>
    <x v="369"/>
  </r>
  <r>
    <s v="TXN-00525"/>
    <d v="2024-07-11T00:00:00"/>
    <x v="2"/>
    <s v="July"/>
    <x v="1"/>
    <s v="Karachi"/>
    <x v="3"/>
    <s v="Kitchenware"/>
    <x v="5"/>
    <n v="2"/>
    <n v="1550"/>
    <n v="3100"/>
    <x v="14"/>
    <n v="319.29999999999995"/>
    <x v="370"/>
  </r>
  <r>
    <s v="TXN-00526"/>
    <d v="2023-02-25T00:00:00"/>
    <x v="0"/>
    <s v="February"/>
    <x v="2"/>
    <s v="Lahore"/>
    <x v="4"/>
    <s v="Breads"/>
    <x v="8"/>
    <n v="1"/>
    <n v="230"/>
    <n v="230"/>
    <x v="103"/>
    <n v="2.9899999999999998"/>
    <x v="371"/>
  </r>
  <r>
    <s v="TXN-00527"/>
    <d v="2024-03-23T00:00:00"/>
    <x v="2"/>
    <s v="March"/>
    <x v="3"/>
    <s v="Islamabad"/>
    <x v="1"/>
    <s v="Mobiles &amp; Tablets"/>
    <x v="69"/>
    <n v="1"/>
    <n v="19500"/>
    <n v="19500"/>
    <x v="65"/>
    <n v="1014"/>
    <x v="372"/>
  </r>
  <r>
    <s v="TXN-00528"/>
    <d v="2025-08-02T00:00:00"/>
    <x v="1"/>
    <s v="August"/>
    <x v="3"/>
    <s v="Islamabad"/>
    <x v="0"/>
    <s v="Lentils &amp; Beans"/>
    <x v="26"/>
    <n v="6"/>
    <n v="700"/>
    <n v="4200"/>
    <x v="43"/>
    <n v="88.2"/>
    <x v="373"/>
  </r>
  <r>
    <s v="TXN-00529"/>
    <d v="2023-11-23T00:00:00"/>
    <x v="0"/>
    <s v="November"/>
    <x v="1"/>
    <s v="Karachi"/>
    <x v="2"/>
    <s v="Fruits"/>
    <x v="52"/>
    <n v="5"/>
    <n v="950"/>
    <n v="4750"/>
    <x v="78"/>
    <n v="28.5"/>
    <x v="374"/>
  </r>
  <r>
    <s v="TXN-00530"/>
    <d v="2025-03-10T00:00:00"/>
    <x v="1"/>
    <s v="March"/>
    <x v="1"/>
    <s v="Karachi"/>
    <x v="7"/>
    <s v="Educational"/>
    <x v="19"/>
    <n v="1"/>
    <n v="1950"/>
    <n v="1950"/>
    <x v="121"/>
    <n v="310.05"/>
    <x v="375"/>
  </r>
  <r>
    <s v="TXN-00531"/>
    <d v="2024-02-18T00:00:00"/>
    <x v="2"/>
    <s v="February"/>
    <x v="0"/>
    <s v="Hyderabad"/>
    <x v="7"/>
    <s v="Action Figures"/>
    <x v="29"/>
    <n v="1"/>
    <n v="500"/>
    <n v="500"/>
    <x v="86"/>
    <n v="48.5"/>
    <x v="376"/>
  </r>
  <r>
    <s v="TXN-00532"/>
    <d v="2023-01-28T00:00:00"/>
    <x v="0"/>
    <s v="January"/>
    <x v="3"/>
    <s v="Islamabad"/>
    <x v="6"/>
    <s v="Women's Wear"/>
    <x v="16"/>
    <n v="1"/>
    <n v="4950"/>
    <n v="4950"/>
    <x v="122"/>
    <n v="549.45000000000005"/>
    <x v="377"/>
  </r>
  <r>
    <s v="TXN-00533"/>
    <d v="2023-01-08T00:00:00"/>
    <x v="0"/>
    <s v="January"/>
    <x v="2"/>
    <s v="Lahore"/>
    <x v="5"/>
    <s v="Personal Care"/>
    <x v="96"/>
    <n v="2"/>
    <n v="1400"/>
    <n v="2800"/>
    <x v="0"/>
    <n v="0"/>
    <x v="2"/>
  </r>
  <r>
    <s v="TXN-00534"/>
    <d v="2025-01-30T00:00:00"/>
    <x v="1"/>
    <s v="January"/>
    <x v="0"/>
    <s v="Hyderabad"/>
    <x v="4"/>
    <s v="Cakes &amp; Pastries"/>
    <x v="70"/>
    <n v="4"/>
    <n v="130"/>
    <n v="520"/>
    <x v="41"/>
    <n v="45.239999999999995"/>
    <x v="378"/>
  </r>
  <r>
    <s v="TXN-00535"/>
    <d v="2024-02-02T00:00:00"/>
    <x v="2"/>
    <s v="February"/>
    <x v="0"/>
    <s v="Hyderabad"/>
    <x v="6"/>
    <s v="Kids Wear"/>
    <x v="30"/>
    <n v="2"/>
    <n v="4200"/>
    <n v="8400"/>
    <x v="59"/>
    <n v="1251.5999999999999"/>
    <x v="379"/>
  </r>
  <r>
    <s v="TXN-00536"/>
    <d v="2025-07-09T00:00:00"/>
    <x v="1"/>
    <s v="July"/>
    <x v="0"/>
    <s v="Hyderabad"/>
    <x v="0"/>
    <s v="Packaged Foods"/>
    <x v="10"/>
    <n v="10"/>
    <n v="360"/>
    <n v="3600"/>
    <x v="0"/>
    <n v="0"/>
    <x v="72"/>
  </r>
  <r>
    <s v="TXN-00537"/>
    <d v="2025-03-21T00:00:00"/>
    <x v="1"/>
    <s v="March"/>
    <x v="1"/>
    <s v="Karachi"/>
    <x v="7"/>
    <s v="Action Figures"/>
    <x v="75"/>
    <n v="1"/>
    <n v="950"/>
    <n v="950"/>
    <x v="0"/>
    <n v="0"/>
    <x v="78"/>
  </r>
  <r>
    <s v="TXN-00538"/>
    <d v="2024-06-14T00:00:00"/>
    <x v="2"/>
    <s v="June"/>
    <x v="1"/>
    <s v="Karachi"/>
    <x v="5"/>
    <s v="Fragrances"/>
    <x v="134"/>
    <n v="1"/>
    <n v="2450"/>
    <n v="2450"/>
    <x v="0"/>
    <n v="0"/>
    <x v="380"/>
  </r>
  <r>
    <s v="TXN-00539"/>
    <d v="2023-04-28T00:00:00"/>
    <x v="0"/>
    <s v="April"/>
    <x v="2"/>
    <s v="Lahore"/>
    <x v="0"/>
    <s v="Spices"/>
    <x v="34"/>
    <n v="1"/>
    <n v="350"/>
    <n v="350"/>
    <x v="0"/>
    <n v="0"/>
    <x v="381"/>
  </r>
  <r>
    <s v="TXN-00540"/>
    <d v="2025-07-29T00:00:00"/>
    <x v="1"/>
    <s v="July"/>
    <x v="1"/>
    <s v="Karachi"/>
    <x v="1"/>
    <s v="Mobiles &amp; Tablets"/>
    <x v="69"/>
    <n v="2"/>
    <n v="78500"/>
    <n v="157000"/>
    <x v="63"/>
    <n v="15386"/>
    <x v="382"/>
  </r>
  <r>
    <s v="TXN-00541"/>
    <d v="2025-12-05T00:00:00"/>
    <x v="1"/>
    <s v="December"/>
    <x v="3"/>
    <s v="Islamabad"/>
    <x v="6"/>
    <s v="Kids Wear"/>
    <x v="44"/>
    <n v="1"/>
    <n v="4400"/>
    <n v="4400"/>
    <x v="0"/>
    <n v="0"/>
    <x v="50"/>
  </r>
  <r>
    <s v="TXN-00542"/>
    <d v="2024-03-03T00:00:00"/>
    <x v="2"/>
    <s v="March"/>
    <x v="3"/>
    <s v="Islamabad"/>
    <x v="1"/>
    <s v="Audio &amp; Accessories"/>
    <x v="62"/>
    <n v="2"/>
    <n v="15500"/>
    <n v="31000"/>
    <x v="0"/>
    <n v="0"/>
    <x v="383"/>
  </r>
  <r>
    <s v="TXN-00543"/>
    <d v="2024-09-08T00:00:00"/>
    <x v="2"/>
    <s v="September"/>
    <x v="0"/>
    <s v="Hyderabad"/>
    <x v="6"/>
    <s v="Men's Wear"/>
    <x v="122"/>
    <n v="1"/>
    <n v="4550"/>
    <n v="4550"/>
    <x v="79"/>
    <n v="978.25"/>
    <x v="384"/>
  </r>
  <r>
    <s v="TXN-00544"/>
    <d v="2024-06-13T00:00:00"/>
    <x v="2"/>
    <s v="June"/>
    <x v="2"/>
    <s v="Lahore"/>
    <x v="6"/>
    <s v="Footwear"/>
    <x v="114"/>
    <n v="1"/>
    <n v="2000"/>
    <n v="2000"/>
    <x v="0"/>
    <n v="0"/>
    <x v="181"/>
  </r>
  <r>
    <s v="TXN-00545"/>
    <d v="2025-09-27T00:00:00"/>
    <x v="1"/>
    <s v="September"/>
    <x v="1"/>
    <s v="Karachi"/>
    <x v="6"/>
    <s v="Men's Wear"/>
    <x v="50"/>
    <n v="1"/>
    <n v="4850"/>
    <n v="4850"/>
    <x v="123"/>
    <n v="1057.3"/>
    <x v="385"/>
  </r>
  <r>
    <s v="TXN-00546"/>
    <d v="2024-09-02T00:00:00"/>
    <x v="2"/>
    <s v="September"/>
    <x v="2"/>
    <s v="Lahore"/>
    <x v="0"/>
    <s v="Spices"/>
    <x v="34"/>
    <n v="4"/>
    <n v="950"/>
    <n v="3800"/>
    <x v="43"/>
    <n v="79.800000000000011"/>
    <x v="386"/>
  </r>
  <r>
    <s v="TXN-00547"/>
    <d v="2024-11-06T00:00:00"/>
    <x v="2"/>
    <s v="November"/>
    <x v="0"/>
    <s v="Hyderabad"/>
    <x v="6"/>
    <s v="Men's Wear"/>
    <x v="35"/>
    <n v="1"/>
    <n v="6000"/>
    <n v="6000"/>
    <x v="54"/>
    <n v="642"/>
    <x v="387"/>
  </r>
  <r>
    <s v="TXN-00548"/>
    <d v="2024-10-25T00:00:00"/>
    <x v="2"/>
    <s v="October"/>
    <x v="2"/>
    <s v="Lahore"/>
    <x v="1"/>
    <s v="Gadgets"/>
    <x v="42"/>
    <n v="1"/>
    <n v="26500"/>
    <n v="26500"/>
    <x v="0"/>
    <n v="0"/>
    <x v="388"/>
  </r>
  <r>
    <s v="TXN-00549"/>
    <d v="2024-06-29T00:00:00"/>
    <x v="2"/>
    <s v="June"/>
    <x v="2"/>
    <s v="Lahore"/>
    <x v="2"/>
    <s v="Dairy"/>
    <x v="37"/>
    <n v="3"/>
    <n v="850"/>
    <n v="2550"/>
    <x v="0"/>
    <n v="0"/>
    <x v="141"/>
  </r>
  <r>
    <s v="TXN-00550"/>
    <d v="2025-10-08T00:00:00"/>
    <x v="1"/>
    <s v="October"/>
    <x v="1"/>
    <s v="Karachi"/>
    <x v="5"/>
    <s v="Makeup"/>
    <x v="54"/>
    <n v="1"/>
    <n v="2100"/>
    <n v="2100"/>
    <x v="0"/>
    <n v="0"/>
    <x v="145"/>
  </r>
  <r>
    <s v="TXN-00551"/>
    <d v="2024-08-15T00:00:00"/>
    <x v="2"/>
    <s v="August"/>
    <x v="0"/>
    <s v="Hyderabad"/>
    <x v="5"/>
    <s v="Makeup"/>
    <x v="100"/>
    <n v="2"/>
    <n v="1450"/>
    <n v="2900"/>
    <x v="0"/>
    <n v="0"/>
    <x v="123"/>
  </r>
  <r>
    <s v="TXN-00552"/>
    <d v="2024-06-17T00:00:00"/>
    <x v="2"/>
    <s v="June"/>
    <x v="3"/>
    <s v="Islamabad"/>
    <x v="5"/>
    <s v="Personal Care"/>
    <x v="103"/>
    <n v="1"/>
    <n v="2250"/>
    <n v="2250"/>
    <x v="124"/>
    <n v="99"/>
    <x v="389"/>
  </r>
  <r>
    <s v="TXN-00553"/>
    <d v="2024-03-28T00:00:00"/>
    <x v="2"/>
    <s v="March"/>
    <x v="2"/>
    <s v="Lahore"/>
    <x v="0"/>
    <s v="Beverages"/>
    <x v="74"/>
    <n v="1"/>
    <n v="800"/>
    <n v="800"/>
    <x v="0"/>
    <n v="0"/>
    <x v="109"/>
  </r>
  <r>
    <s v="TXN-00554"/>
    <d v="2023-08-03T00:00:00"/>
    <x v="0"/>
    <s v="August"/>
    <x v="2"/>
    <s v="Lahore"/>
    <x v="0"/>
    <s v="Lentils &amp; Beans"/>
    <x v="33"/>
    <n v="2"/>
    <n v="270"/>
    <n v="540"/>
    <x v="0"/>
    <n v="0"/>
    <x v="390"/>
  </r>
  <r>
    <s v="TXN-00555"/>
    <d v="2024-07-26T00:00:00"/>
    <x v="2"/>
    <s v="July"/>
    <x v="3"/>
    <s v="Islamabad"/>
    <x v="0"/>
    <s v="Packaged Foods"/>
    <x v="73"/>
    <n v="8"/>
    <n v="1800"/>
    <n v="14400"/>
    <x v="0"/>
    <n v="0"/>
    <x v="276"/>
  </r>
  <r>
    <s v="TXN-00556"/>
    <d v="2024-04-25T00:00:00"/>
    <x v="2"/>
    <s v="April"/>
    <x v="0"/>
    <s v="Hyderabad"/>
    <x v="3"/>
    <s v="Laundry"/>
    <x v="111"/>
    <n v="3"/>
    <n v="800"/>
    <n v="2400"/>
    <x v="42"/>
    <n v="7.2"/>
    <x v="116"/>
  </r>
  <r>
    <s v="TXN-00557"/>
    <d v="2023-06-19T00:00:00"/>
    <x v="0"/>
    <s v="June"/>
    <x v="1"/>
    <s v="Karachi"/>
    <x v="2"/>
    <s v="Dairy"/>
    <x v="49"/>
    <n v="3"/>
    <n v="250"/>
    <n v="750"/>
    <x v="125"/>
    <n v="1.5"/>
    <x v="391"/>
  </r>
  <r>
    <s v="TXN-00558"/>
    <d v="2024-02-21T00:00:00"/>
    <x v="2"/>
    <s v="February"/>
    <x v="1"/>
    <s v="Karachi"/>
    <x v="6"/>
    <s v="Women's Wear"/>
    <x v="47"/>
    <n v="1"/>
    <n v="4450"/>
    <n v="4450"/>
    <x v="0"/>
    <n v="0"/>
    <x v="198"/>
  </r>
  <r>
    <s v="TXN-00559"/>
    <d v="2024-02-08T00:00:00"/>
    <x v="2"/>
    <s v="February"/>
    <x v="3"/>
    <s v="Islamabad"/>
    <x v="2"/>
    <s v="Vegetables"/>
    <x v="76"/>
    <n v="1"/>
    <n v="110"/>
    <n v="110"/>
    <x v="116"/>
    <n v="3.6300000000000003"/>
    <x v="392"/>
  </r>
  <r>
    <s v="TXN-00560"/>
    <d v="2025-12-16T00:00:00"/>
    <x v="1"/>
    <s v="December"/>
    <x v="0"/>
    <s v="Hyderabad"/>
    <x v="5"/>
    <s v="Personal Care"/>
    <x v="32"/>
    <n v="3"/>
    <n v="2400"/>
    <n v="7200"/>
    <x v="0"/>
    <n v="0"/>
    <x v="154"/>
  </r>
  <r>
    <s v="TXN-00561"/>
    <d v="2023-03-08T00:00:00"/>
    <x v="0"/>
    <s v="March"/>
    <x v="3"/>
    <s v="Islamabad"/>
    <x v="4"/>
    <s v="Savoury"/>
    <x v="125"/>
    <n v="2"/>
    <n v="270"/>
    <n v="540"/>
    <x v="0"/>
    <n v="0"/>
    <x v="390"/>
  </r>
  <r>
    <s v="TXN-00562"/>
    <d v="2025-05-25T00:00:00"/>
    <x v="1"/>
    <s v="May"/>
    <x v="2"/>
    <s v="Lahore"/>
    <x v="0"/>
    <s v="Cooking Oil"/>
    <x v="124"/>
    <n v="5"/>
    <n v="1600"/>
    <n v="8000"/>
    <x v="0"/>
    <n v="0"/>
    <x v="216"/>
  </r>
  <r>
    <s v="TXN-00563"/>
    <d v="2024-03-26T00:00:00"/>
    <x v="2"/>
    <s v="March"/>
    <x v="2"/>
    <s v="Lahore"/>
    <x v="0"/>
    <s v="Cooking Oil"/>
    <x v="130"/>
    <n v="8"/>
    <n v="380"/>
    <n v="3040"/>
    <x v="36"/>
    <n v="152"/>
    <x v="393"/>
  </r>
  <r>
    <s v="TXN-00564"/>
    <d v="2023-12-05T00:00:00"/>
    <x v="0"/>
    <s v="December"/>
    <x v="0"/>
    <s v="Hyderabad"/>
    <x v="2"/>
    <s v="Meat &amp; Poultry"/>
    <x v="15"/>
    <n v="2"/>
    <n v="750"/>
    <n v="1500"/>
    <x v="0"/>
    <n v="0"/>
    <x v="75"/>
  </r>
  <r>
    <s v="TXN-00565"/>
    <d v="2023-02-09T00:00:00"/>
    <x v="0"/>
    <s v="February"/>
    <x v="1"/>
    <s v="Karachi"/>
    <x v="1"/>
    <s v="Small Appliances"/>
    <x v="68"/>
    <n v="2"/>
    <n v="36500"/>
    <n v="73000"/>
    <x v="0"/>
    <n v="0"/>
    <x v="82"/>
  </r>
  <r>
    <s v="TXN-00566"/>
    <d v="2025-02-12T00:00:00"/>
    <x v="1"/>
    <s v="February"/>
    <x v="0"/>
    <s v="Hyderabad"/>
    <x v="3"/>
    <s v="Home Essentials"/>
    <x v="39"/>
    <n v="3"/>
    <n v="1350"/>
    <n v="4050"/>
    <x v="37"/>
    <n v="36.449999999999996"/>
    <x v="394"/>
  </r>
  <r>
    <s v="TXN-00567"/>
    <d v="2023-07-29T00:00:00"/>
    <x v="0"/>
    <s v="July"/>
    <x v="2"/>
    <s v="Lahore"/>
    <x v="0"/>
    <s v="Cooking Oil"/>
    <x v="124"/>
    <n v="4"/>
    <n v="360"/>
    <n v="1440"/>
    <x v="5"/>
    <n v="10.08"/>
    <x v="395"/>
  </r>
  <r>
    <s v="TXN-00568"/>
    <d v="2025-12-14T00:00:00"/>
    <x v="1"/>
    <s v="December"/>
    <x v="0"/>
    <s v="Hyderabad"/>
    <x v="4"/>
    <s v="Cookies"/>
    <x v="53"/>
    <n v="2"/>
    <n v="1100"/>
    <n v="2200"/>
    <x v="0"/>
    <n v="0"/>
    <x v="54"/>
  </r>
  <r>
    <s v="TXN-00569"/>
    <d v="2024-07-06T00:00:00"/>
    <x v="2"/>
    <s v="July"/>
    <x v="1"/>
    <s v="Karachi"/>
    <x v="0"/>
    <s v="Lentils &amp; Beans"/>
    <x v="60"/>
    <n v="3"/>
    <n v="550"/>
    <n v="1650"/>
    <x v="30"/>
    <n v="79.2"/>
    <x v="396"/>
  </r>
  <r>
    <s v="TXN-00570"/>
    <d v="2025-12-14T00:00:00"/>
    <x v="1"/>
    <s v="December"/>
    <x v="1"/>
    <s v="Karachi"/>
    <x v="2"/>
    <s v="Dairy"/>
    <x v="51"/>
    <n v="2"/>
    <n v="700"/>
    <n v="1400"/>
    <x v="118"/>
    <n v="49.000000000000007"/>
    <x v="397"/>
  </r>
  <r>
    <s v="TXN-00571"/>
    <d v="2024-01-05T00:00:00"/>
    <x v="2"/>
    <s v="January"/>
    <x v="3"/>
    <s v="Islamabad"/>
    <x v="4"/>
    <s v="Cookies"/>
    <x v="53"/>
    <n v="2"/>
    <n v="1600"/>
    <n v="3200"/>
    <x v="0"/>
    <n v="0"/>
    <x v="291"/>
  </r>
  <r>
    <s v="TXN-00572"/>
    <d v="2025-11-01T00:00:00"/>
    <x v="1"/>
    <s v="November"/>
    <x v="3"/>
    <s v="Islamabad"/>
    <x v="3"/>
    <s v="Cleaning Supplies"/>
    <x v="97"/>
    <n v="1"/>
    <n v="3400"/>
    <n v="3400"/>
    <x v="0"/>
    <n v="0"/>
    <x v="307"/>
  </r>
  <r>
    <s v="TXN-00573"/>
    <d v="2024-07-03T00:00:00"/>
    <x v="2"/>
    <s v="July"/>
    <x v="3"/>
    <s v="Islamabad"/>
    <x v="3"/>
    <s v="Home Essentials"/>
    <x v="39"/>
    <n v="2"/>
    <n v="2200"/>
    <n v="4400"/>
    <x v="0"/>
    <n v="0"/>
    <x v="50"/>
  </r>
  <r>
    <s v="TXN-00574"/>
    <d v="2025-01-03T00:00:00"/>
    <x v="1"/>
    <s v="January"/>
    <x v="0"/>
    <s v="Hyderabad"/>
    <x v="6"/>
    <s v="Women's Wear"/>
    <x v="38"/>
    <n v="1"/>
    <n v="1900"/>
    <n v="1900"/>
    <x v="0"/>
    <n v="0"/>
    <x v="151"/>
  </r>
  <r>
    <s v="TXN-00575"/>
    <d v="2025-11-15T00:00:00"/>
    <x v="1"/>
    <s v="November"/>
    <x v="3"/>
    <s v="Islamabad"/>
    <x v="0"/>
    <s v="Packaged Foods"/>
    <x v="10"/>
    <n v="1"/>
    <n v="1250"/>
    <n v="1250"/>
    <x v="5"/>
    <n v="8.75"/>
    <x v="398"/>
  </r>
  <r>
    <s v="TXN-00576"/>
    <d v="2025-12-04T00:00:00"/>
    <x v="1"/>
    <s v="December"/>
    <x v="0"/>
    <s v="Hyderabad"/>
    <x v="6"/>
    <s v="Kids Wear"/>
    <x v="30"/>
    <n v="1"/>
    <n v="4350"/>
    <n v="4350"/>
    <x v="0"/>
    <n v="0"/>
    <x v="10"/>
  </r>
  <r>
    <s v="TXN-00577"/>
    <d v="2024-04-12T00:00:00"/>
    <x v="2"/>
    <s v="April"/>
    <x v="3"/>
    <s v="Islamabad"/>
    <x v="5"/>
    <s v="Fragrances"/>
    <x v="133"/>
    <n v="1"/>
    <n v="2250"/>
    <n v="2250"/>
    <x v="0"/>
    <n v="0"/>
    <x v="399"/>
  </r>
  <r>
    <s v="TXN-00578"/>
    <d v="2024-08-29T00:00:00"/>
    <x v="2"/>
    <s v="August"/>
    <x v="3"/>
    <s v="Islamabad"/>
    <x v="3"/>
    <s v="Home Essentials"/>
    <x v="115"/>
    <n v="2"/>
    <n v="2400"/>
    <n v="4800"/>
    <x v="0"/>
    <n v="0"/>
    <x v="37"/>
  </r>
  <r>
    <s v="TXN-00579"/>
    <d v="2025-01-19T00:00:00"/>
    <x v="1"/>
    <s v="January"/>
    <x v="2"/>
    <s v="Lahore"/>
    <x v="3"/>
    <s v="Cleaning Supplies"/>
    <x v="97"/>
    <n v="2"/>
    <n v="1000"/>
    <n v="2000"/>
    <x v="54"/>
    <n v="214"/>
    <x v="400"/>
  </r>
  <r>
    <s v="TXN-00580"/>
    <d v="2023-07-27T00:00:00"/>
    <x v="0"/>
    <s v="July"/>
    <x v="0"/>
    <s v="Hyderabad"/>
    <x v="0"/>
    <s v="Beverages"/>
    <x v="0"/>
    <n v="5"/>
    <n v="1850"/>
    <n v="9250"/>
    <x v="35"/>
    <n v="675.25"/>
    <x v="401"/>
  </r>
  <r>
    <s v="TXN-00581"/>
    <d v="2023-07-23T00:00:00"/>
    <x v="0"/>
    <s v="July"/>
    <x v="2"/>
    <s v="Lahore"/>
    <x v="1"/>
    <s v="Small Appliances"/>
    <x v="21"/>
    <n v="1"/>
    <n v="32500"/>
    <n v="32500"/>
    <x v="126"/>
    <n v="3835"/>
    <x v="402"/>
  </r>
  <r>
    <s v="TXN-00582"/>
    <d v="2023-04-08T00:00:00"/>
    <x v="0"/>
    <s v="April"/>
    <x v="2"/>
    <s v="Lahore"/>
    <x v="5"/>
    <s v="Skincare"/>
    <x v="128"/>
    <n v="2"/>
    <n v="3750"/>
    <n v="7500"/>
    <x v="0"/>
    <n v="0"/>
    <x v="322"/>
  </r>
  <r>
    <s v="TXN-00583"/>
    <d v="2023-09-30T00:00:00"/>
    <x v="0"/>
    <s v="September"/>
    <x v="3"/>
    <s v="Islamabad"/>
    <x v="2"/>
    <s v="Dairy"/>
    <x v="37"/>
    <n v="2"/>
    <n v="1200"/>
    <n v="2400"/>
    <x v="0"/>
    <n v="0"/>
    <x v="68"/>
  </r>
  <r>
    <s v="TXN-00584"/>
    <d v="2023-03-17T00:00:00"/>
    <x v="0"/>
    <s v="March"/>
    <x v="1"/>
    <s v="Karachi"/>
    <x v="6"/>
    <s v="Women's Wear"/>
    <x v="16"/>
    <n v="2"/>
    <n v="1400"/>
    <n v="2800"/>
    <x v="0"/>
    <n v="0"/>
    <x v="2"/>
  </r>
  <r>
    <s v="TXN-00585"/>
    <d v="2023-03-23T00:00:00"/>
    <x v="0"/>
    <s v="March"/>
    <x v="2"/>
    <s v="Lahore"/>
    <x v="4"/>
    <s v="Savoury"/>
    <x v="107"/>
    <n v="10"/>
    <n v="800"/>
    <n v="8000"/>
    <x v="0"/>
    <n v="0"/>
    <x v="216"/>
  </r>
  <r>
    <s v="TXN-00586"/>
    <d v="2023-05-07T00:00:00"/>
    <x v="0"/>
    <s v="May"/>
    <x v="3"/>
    <s v="Islamabad"/>
    <x v="3"/>
    <s v="Laundry"/>
    <x v="116"/>
    <n v="2"/>
    <n v="1850"/>
    <n v="3700"/>
    <x v="0"/>
    <n v="0"/>
    <x v="129"/>
  </r>
  <r>
    <s v="TXN-00587"/>
    <d v="2025-10-03T00:00:00"/>
    <x v="1"/>
    <s v="October"/>
    <x v="0"/>
    <s v="Hyderabad"/>
    <x v="2"/>
    <s v="Dairy"/>
    <x v="51"/>
    <n v="4"/>
    <n v="750"/>
    <n v="3000"/>
    <x v="0"/>
    <n v="0"/>
    <x v="0"/>
  </r>
  <r>
    <s v="TXN-00588"/>
    <d v="2024-03-14T00:00:00"/>
    <x v="2"/>
    <s v="March"/>
    <x v="0"/>
    <s v="Hyderabad"/>
    <x v="3"/>
    <s v="Cleaning Supplies"/>
    <x v="97"/>
    <n v="2"/>
    <n v="650"/>
    <n v="1300"/>
    <x v="0"/>
    <n v="0"/>
    <x v="172"/>
  </r>
  <r>
    <s v="TXN-00589"/>
    <d v="2023-11-07T00:00:00"/>
    <x v="0"/>
    <s v="November"/>
    <x v="2"/>
    <s v="Lahore"/>
    <x v="6"/>
    <s v="Men's Wear"/>
    <x v="122"/>
    <n v="1"/>
    <n v="4550"/>
    <n v="4550"/>
    <x v="127"/>
    <n v="1005.55"/>
    <x v="403"/>
  </r>
  <r>
    <s v="TXN-00590"/>
    <d v="2024-04-27T00:00:00"/>
    <x v="2"/>
    <s v="April"/>
    <x v="1"/>
    <s v="Karachi"/>
    <x v="1"/>
    <s v="Gadgets"/>
    <x v="42"/>
    <n v="1"/>
    <n v="67000"/>
    <n v="67000"/>
    <x v="14"/>
    <n v="6901"/>
    <x v="404"/>
  </r>
  <r>
    <s v="TXN-00591"/>
    <d v="2025-08-09T00:00:00"/>
    <x v="1"/>
    <s v="August"/>
    <x v="2"/>
    <s v="Lahore"/>
    <x v="0"/>
    <s v="Beverages"/>
    <x v="74"/>
    <n v="3"/>
    <n v="600"/>
    <n v="1800"/>
    <x v="128"/>
    <n v="75.600000000000009"/>
    <x v="405"/>
  </r>
  <r>
    <s v="TXN-00592"/>
    <d v="2024-01-13T00:00:00"/>
    <x v="2"/>
    <s v="January"/>
    <x v="0"/>
    <s v="Hyderabad"/>
    <x v="6"/>
    <s v="Women's Wear"/>
    <x v="47"/>
    <n v="1"/>
    <n v="6000"/>
    <n v="6000"/>
    <x v="0"/>
    <n v="0"/>
    <x v="38"/>
  </r>
  <r>
    <s v="TXN-00593"/>
    <d v="2023-02-10T00:00:00"/>
    <x v="0"/>
    <s v="February"/>
    <x v="1"/>
    <s v="Karachi"/>
    <x v="1"/>
    <s v="Audio &amp; Accessories"/>
    <x v="62"/>
    <n v="1"/>
    <n v="26000"/>
    <n v="26000"/>
    <x v="0"/>
    <n v="0"/>
    <x v="330"/>
  </r>
  <r>
    <s v="TXN-00594"/>
    <d v="2025-09-26T00:00:00"/>
    <x v="1"/>
    <s v="September"/>
    <x v="3"/>
    <s v="Islamabad"/>
    <x v="2"/>
    <s v="Meat &amp; Poultry"/>
    <x v="105"/>
    <n v="4"/>
    <n v="470"/>
    <n v="1880"/>
    <x v="0"/>
    <n v="0"/>
    <x v="406"/>
  </r>
  <r>
    <s v="TXN-00595"/>
    <d v="2024-12-14T00:00:00"/>
    <x v="2"/>
    <s v="December"/>
    <x v="2"/>
    <s v="Lahore"/>
    <x v="5"/>
    <s v="Makeup"/>
    <x v="59"/>
    <n v="2"/>
    <n v="470"/>
    <n v="940"/>
    <x v="96"/>
    <n v="11.28"/>
    <x v="407"/>
  </r>
  <r>
    <s v="TXN-00596"/>
    <d v="2024-12-05T00:00:00"/>
    <x v="2"/>
    <s v="December"/>
    <x v="0"/>
    <s v="Hyderabad"/>
    <x v="6"/>
    <s v="Footwear"/>
    <x v="57"/>
    <n v="1"/>
    <n v="3650"/>
    <n v="3650"/>
    <x v="129"/>
    <n v="361.35"/>
    <x v="408"/>
  </r>
  <r>
    <s v="TXN-00597"/>
    <d v="2025-03-16T00:00:00"/>
    <x v="1"/>
    <s v="March"/>
    <x v="3"/>
    <s v="Islamabad"/>
    <x v="4"/>
    <s v="Cookies"/>
    <x v="4"/>
    <n v="1"/>
    <n v="130"/>
    <n v="130"/>
    <x v="0"/>
    <n v="0"/>
    <x v="409"/>
  </r>
  <r>
    <s v="TXN-00598"/>
    <d v="2023-06-16T00:00:00"/>
    <x v="0"/>
    <s v="June"/>
    <x v="1"/>
    <s v="Karachi"/>
    <x v="3"/>
    <s v="Cleaning Supplies"/>
    <x v="97"/>
    <n v="3"/>
    <n v="3750"/>
    <n v="11250"/>
    <x v="0"/>
    <n v="0"/>
    <x v="11"/>
  </r>
  <r>
    <s v="TXN-00599"/>
    <d v="2023-03-20T00:00:00"/>
    <x v="0"/>
    <s v="March"/>
    <x v="2"/>
    <s v="Lahore"/>
    <x v="4"/>
    <s v="Breads"/>
    <x v="104"/>
    <n v="3"/>
    <n v="1350"/>
    <n v="4050"/>
    <x v="0"/>
    <n v="0"/>
    <x v="155"/>
  </r>
  <r>
    <s v="TXN-00600"/>
    <d v="2024-05-13T00:00:00"/>
    <x v="2"/>
    <s v="May"/>
    <x v="0"/>
    <s v="Hyderabad"/>
    <x v="6"/>
    <s v="Footwear"/>
    <x v="89"/>
    <n v="2"/>
    <n v="5000"/>
    <n v="10000"/>
    <x v="34"/>
    <n v="750"/>
    <x v="410"/>
  </r>
  <r>
    <s v="TXN-00601"/>
    <d v="2023-06-21T00:00:00"/>
    <x v="0"/>
    <s v="June"/>
    <x v="3"/>
    <s v="Islamabad"/>
    <x v="4"/>
    <s v="Breads"/>
    <x v="8"/>
    <n v="2"/>
    <n v="950"/>
    <n v="1900"/>
    <x v="0"/>
    <n v="0"/>
    <x v="151"/>
  </r>
  <r>
    <s v="TXN-00602"/>
    <d v="2023-11-18T00:00:00"/>
    <x v="0"/>
    <s v="November"/>
    <x v="0"/>
    <s v="Hyderabad"/>
    <x v="6"/>
    <s v="Women's Wear"/>
    <x v="38"/>
    <n v="3"/>
    <n v="2500"/>
    <n v="7500"/>
    <x v="0"/>
    <n v="0"/>
    <x v="322"/>
  </r>
  <r>
    <s v="TXN-00603"/>
    <d v="2025-10-09T00:00:00"/>
    <x v="1"/>
    <s v="October"/>
    <x v="0"/>
    <s v="Hyderabad"/>
    <x v="5"/>
    <s v="Fragrances"/>
    <x v="134"/>
    <n v="3"/>
    <n v="3900"/>
    <n v="11700"/>
    <x v="0"/>
    <n v="0"/>
    <x v="234"/>
  </r>
  <r>
    <s v="TXN-00604"/>
    <d v="2024-02-21T00:00:00"/>
    <x v="2"/>
    <s v="February"/>
    <x v="0"/>
    <s v="Hyderabad"/>
    <x v="3"/>
    <s v="Cleaning Supplies"/>
    <x v="131"/>
    <n v="2"/>
    <n v="2450"/>
    <n v="4900"/>
    <x v="130"/>
    <n v="573.30000000000007"/>
    <x v="411"/>
  </r>
  <r>
    <s v="TXN-00605"/>
    <d v="2025-11-06T00:00:00"/>
    <x v="1"/>
    <s v="November"/>
    <x v="2"/>
    <s v="Lahore"/>
    <x v="7"/>
    <s v="Board Games"/>
    <x v="20"/>
    <n v="2"/>
    <n v="1400"/>
    <n v="2800"/>
    <x v="18"/>
    <n v="190.4"/>
    <x v="412"/>
  </r>
  <r>
    <s v="TXN-00606"/>
    <d v="2023-08-21T00:00:00"/>
    <x v="0"/>
    <s v="August"/>
    <x v="0"/>
    <s v="Hyderabad"/>
    <x v="1"/>
    <s v="Gadgets"/>
    <x v="99"/>
    <n v="2"/>
    <n v="56000"/>
    <n v="112000"/>
    <x v="131"/>
    <n v="7840.0000000000009"/>
    <x v="413"/>
  </r>
  <r>
    <s v="TXN-00607"/>
    <d v="2023-12-16T00:00:00"/>
    <x v="0"/>
    <s v="December"/>
    <x v="0"/>
    <s v="Hyderabad"/>
    <x v="2"/>
    <s v="Vegetables"/>
    <x v="76"/>
    <n v="3"/>
    <n v="1150"/>
    <n v="3450"/>
    <x v="0"/>
    <n v="0"/>
    <x v="217"/>
  </r>
  <r>
    <s v="TXN-00608"/>
    <d v="2024-11-03T00:00:00"/>
    <x v="2"/>
    <s v="November"/>
    <x v="0"/>
    <s v="Hyderabad"/>
    <x v="5"/>
    <s v="Fragrances"/>
    <x v="135"/>
    <n v="1"/>
    <n v="1950"/>
    <n v="1950"/>
    <x v="0"/>
    <n v="0"/>
    <x v="105"/>
  </r>
  <r>
    <s v="TXN-00609"/>
    <d v="2025-04-23T00:00:00"/>
    <x v="1"/>
    <s v="April"/>
    <x v="2"/>
    <s v="Lahore"/>
    <x v="4"/>
    <s v="Cakes &amp; Pastries"/>
    <x v="70"/>
    <n v="10"/>
    <n v="1400"/>
    <n v="14000"/>
    <x v="0"/>
    <n v="0"/>
    <x v="39"/>
  </r>
  <r>
    <s v="TXN-00610"/>
    <d v="2025-02-01T00:00:00"/>
    <x v="1"/>
    <s v="February"/>
    <x v="0"/>
    <s v="Hyderabad"/>
    <x v="1"/>
    <s v="Audio &amp; Accessories"/>
    <x v="24"/>
    <n v="1"/>
    <n v="17000"/>
    <n v="17000"/>
    <x v="0"/>
    <n v="0"/>
    <x v="414"/>
  </r>
  <r>
    <s v="TXN-00611"/>
    <d v="2025-04-20T00:00:00"/>
    <x v="1"/>
    <s v="April"/>
    <x v="0"/>
    <s v="Hyderabad"/>
    <x v="7"/>
    <s v="Action Figures"/>
    <x v="121"/>
    <n v="2"/>
    <n v="3500"/>
    <n v="7000"/>
    <x v="0"/>
    <n v="0"/>
    <x v="163"/>
  </r>
  <r>
    <s v="TXN-00612"/>
    <d v="2023-01-09T00:00:00"/>
    <x v="0"/>
    <s v="January"/>
    <x v="1"/>
    <s v="Karachi"/>
    <x v="1"/>
    <s v="Audio &amp; Accessories"/>
    <x v="92"/>
    <n v="1"/>
    <n v="5500"/>
    <n v="5500"/>
    <x v="50"/>
    <n v="791.99999999999989"/>
    <x v="415"/>
  </r>
  <r>
    <s v="TXN-00613"/>
    <d v="2025-09-01T00:00:00"/>
    <x v="1"/>
    <s v="September"/>
    <x v="3"/>
    <s v="Islamabad"/>
    <x v="6"/>
    <s v="Women's Wear"/>
    <x v="38"/>
    <n v="1"/>
    <n v="5000"/>
    <n v="5000"/>
    <x v="0"/>
    <n v="0"/>
    <x v="55"/>
  </r>
  <r>
    <s v="TXN-00614"/>
    <d v="2025-04-03T00:00:00"/>
    <x v="1"/>
    <s v="April"/>
    <x v="3"/>
    <s v="Islamabad"/>
    <x v="6"/>
    <s v="Men's Wear"/>
    <x v="12"/>
    <n v="1"/>
    <n v="2450"/>
    <n v="2450"/>
    <x v="132"/>
    <n v="487.55"/>
    <x v="416"/>
  </r>
  <r>
    <s v="TXN-00615"/>
    <d v="2024-03-23T00:00:00"/>
    <x v="2"/>
    <s v="March"/>
    <x v="1"/>
    <s v="Karachi"/>
    <x v="7"/>
    <s v="Action Figures"/>
    <x v="29"/>
    <n v="1"/>
    <n v="2400"/>
    <n v="2400"/>
    <x v="0"/>
    <n v="0"/>
    <x v="68"/>
  </r>
  <r>
    <s v="TXN-00616"/>
    <d v="2023-12-22T00:00:00"/>
    <x v="0"/>
    <s v="December"/>
    <x v="3"/>
    <s v="Islamabad"/>
    <x v="6"/>
    <s v="Footwear"/>
    <x v="57"/>
    <n v="3"/>
    <n v="2000"/>
    <n v="6000"/>
    <x v="114"/>
    <n v="576"/>
    <x v="417"/>
  </r>
  <r>
    <s v="TXN-00617"/>
    <d v="2025-08-18T00:00:00"/>
    <x v="1"/>
    <s v="August"/>
    <x v="1"/>
    <s v="Karachi"/>
    <x v="1"/>
    <s v="Gadgets"/>
    <x v="99"/>
    <n v="1"/>
    <n v="75500"/>
    <n v="75500"/>
    <x v="133"/>
    <n v="7097"/>
    <x v="418"/>
  </r>
  <r>
    <s v="TXN-00618"/>
    <d v="2024-04-09T00:00:00"/>
    <x v="2"/>
    <s v="April"/>
    <x v="0"/>
    <s v="Hyderabad"/>
    <x v="4"/>
    <s v="Cakes &amp; Pastries"/>
    <x v="70"/>
    <n v="2"/>
    <n v="950"/>
    <n v="1900"/>
    <x v="19"/>
    <n v="180.5"/>
    <x v="419"/>
  </r>
  <r>
    <s v="TXN-00619"/>
    <d v="2024-08-26T00:00:00"/>
    <x v="2"/>
    <s v="August"/>
    <x v="1"/>
    <s v="Karachi"/>
    <x v="0"/>
    <s v="Lentils &amp; Beans"/>
    <x v="26"/>
    <n v="3"/>
    <n v="400"/>
    <n v="1200"/>
    <x v="0"/>
    <n v="0"/>
    <x v="5"/>
  </r>
  <r>
    <s v="TXN-00620"/>
    <d v="2025-03-02T00:00:00"/>
    <x v="1"/>
    <s v="March"/>
    <x v="0"/>
    <s v="Hyderabad"/>
    <x v="2"/>
    <s v="Vegetables"/>
    <x v="81"/>
    <n v="1"/>
    <n v="1100"/>
    <n v="1100"/>
    <x v="0"/>
    <n v="0"/>
    <x v="96"/>
  </r>
  <r>
    <s v="TXN-00621"/>
    <d v="2023-10-02T00:00:00"/>
    <x v="0"/>
    <s v="October"/>
    <x v="3"/>
    <s v="Islamabad"/>
    <x v="7"/>
    <s v="Board Games"/>
    <x v="61"/>
    <n v="1"/>
    <n v="3900"/>
    <n v="3900"/>
    <x v="134"/>
    <n v="659.1"/>
    <x v="420"/>
  </r>
  <r>
    <s v="TXN-00622"/>
    <d v="2025-07-31T00:00:00"/>
    <x v="1"/>
    <s v="July"/>
    <x v="1"/>
    <s v="Karachi"/>
    <x v="2"/>
    <s v="Fruits"/>
    <x v="28"/>
    <n v="1"/>
    <n v="420"/>
    <n v="420"/>
    <x v="0"/>
    <n v="0"/>
    <x v="215"/>
  </r>
  <r>
    <s v="TXN-00623"/>
    <d v="2023-07-02T00:00:00"/>
    <x v="0"/>
    <s v="July"/>
    <x v="1"/>
    <s v="Karachi"/>
    <x v="4"/>
    <s v="Cakes &amp; Pastries"/>
    <x v="70"/>
    <n v="5"/>
    <n v="410"/>
    <n v="2050"/>
    <x v="51"/>
    <n v="151.69999999999999"/>
    <x v="421"/>
  </r>
  <r>
    <s v="TXN-00624"/>
    <d v="2025-10-20T00:00:00"/>
    <x v="1"/>
    <s v="October"/>
    <x v="0"/>
    <s v="Hyderabad"/>
    <x v="4"/>
    <s v="Savoury"/>
    <x v="119"/>
    <n v="1"/>
    <n v="1350"/>
    <n v="1350"/>
    <x v="0"/>
    <n v="0"/>
    <x v="31"/>
  </r>
  <r>
    <s v="TXN-00625"/>
    <d v="2024-06-20T00:00:00"/>
    <x v="2"/>
    <s v="June"/>
    <x v="3"/>
    <s v="Islamabad"/>
    <x v="0"/>
    <s v="Spices"/>
    <x v="34"/>
    <n v="2"/>
    <n v="750"/>
    <n v="1500"/>
    <x v="0"/>
    <n v="0"/>
    <x v="75"/>
  </r>
  <r>
    <s v="TXN-00626"/>
    <d v="2023-12-05T00:00:00"/>
    <x v="0"/>
    <s v="December"/>
    <x v="2"/>
    <s v="Lahore"/>
    <x v="1"/>
    <s v="Mobiles &amp; Tablets"/>
    <x v="69"/>
    <n v="1"/>
    <n v="58000"/>
    <n v="58000"/>
    <x v="135"/>
    <n v="7598"/>
    <x v="422"/>
  </r>
  <r>
    <s v="TXN-00627"/>
    <d v="2025-04-11T00:00:00"/>
    <x v="1"/>
    <s v="April"/>
    <x v="1"/>
    <s v="Karachi"/>
    <x v="4"/>
    <s v="Cookies"/>
    <x v="4"/>
    <n v="4"/>
    <n v="150"/>
    <n v="600"/>
    <x v="64"/>
    <n v="6"/>
    <x v="423"/>
  </r>
  <r>
    <s v="TXN-00628"/>
    <d v="2023-09-20T00:00:00"/>
    <x v="0"/>
    <s v="September"/>
    <x v="3"/>
    <s v="Islamabad"/>
    <x v="0"/>
    <s v="Spices"/>
    <x v="82"/>
    <n v="1"/>
    <n v="1000"/>
    <n v="1000"/>
    <x v="0"/>
    <n v="0"/>
    <x v="230"/>
  </r>
  <r>
    <s v="TXN-00629"/>
    <d v="2024-09-03T00:00:00"/>
    <x v="2"/>
    <s v="September"/>
    <x v="3"/>
    <s v="Islamabad"/>
    <x v="2"/>
    <s v="Fruits"/>
    <x v="77"/>
    <n v="8"/>
    <n v="1050"/>
    <n v="8400"/>
    <x v="120"/>
    <n v="184.79999999999998"/>
    <x v="424"/>
  </r>
  <r>
    <s v="TXN-00630"/>
    <d v="2025-11-06T00:00:00"/>
    <x v="1"/>
    <s v="November"/>
    <x v="2"/>
    <s v="Lahore"/>
    <x v="6"/>
    <s v="Women's Wear"/>
    <x v="47"/>
    <n v="1"/>
    <n v="4550"/>
    <n v="4550"/>
    <x v="41"/>
    <n v="395.84999999999997"/>
    <x v="425"/>
  </r>
  <r>
    <s v="TXN-00631"/>
    <d v="2025-08-06T00:00:00"/>
    <x v="1"/>
    <s v="August"/>
    <x v="1"/>
    <s v="Karachi"/>
    <x v="7"/>
    <s v="Educational"/>
    <x v="19"/>
    <n v="1"/>
    <n v="4100"/>
    <n v="4100"/>
    <x v="6"/>
    <n v="574"/>
    <x v="426"/>
  </r>
  <r>
    <s v="TXN-00632"/>
    <d v="2025-08-16T00:00:00"/>
    <x v="1"/>
    <s v="August"/>
    <x v="2"/>
    <s v="Lahore"/>
    <x v="2"/>
    <s v="Vegetables"/>
    <x v="56"/>
    <n v="5"/>
    <n v="800"/>
    <n v="4000"/>
    <x v="0"/>
    <n v="0"/>
    <x v="133"/>
  </r>
  <r>
    <s v="TXN-00633"/>
    <d v="2023-07-06T00:00:00"/>
    <x v="0"/>
    <s v="July"/>
    <x v="0"/>
    <s v="Hyderabad"/>
    <x v="4"/>
    <s v="Cookies"/>
    <x v="4"/>
    <n v="2"/>
    <n v="1250"/>
    <n v="2500"/>
    <x v="0"/>
    <n v="0"/>
    <x v="118"/>
  </r>
  <r>
    <s v="TXN-00634"/>
    <d v="2025-05-02T00:00:00"/>
    <x v="1"/>
    <s v="May"/>
    <x v="3"/>
    <s v="Islamabad"/>
    <x v="4"/>
    <s v="Cookies"/>
    <x v="90"/>
    <n v="8"/>
    <n v="1250"/>
    <n v="10000"/>
    <x v="0"/>
    <n v="0"/>
    <x v="149"/>
  </r>
  <r>
    <s v="TXN-00635"/>
    <d v="2025-08-26T00:00:00"/>
    <x v="1"/>
    <s v="August"/>
    <x v="2"/>
    <s v="Lahore"/>
    <x v="5"/>
    <s v="Fragrances"/>
    <x v="135"/>
    <n v="3"/>
    <n v="4200"/>
    <n v="12600"/>
    <x v="0"/>
    <n v="0"/>
    <x v="303"/>
  </r>
  <r>
    <s v="TXN-00636"/>
    <d v="2023-08-14T00:00:00"/>
    <x v="0"/>
    <s v="August"/>
    <x v="3"/>
    <s v="Islamabad"/>
    <x v="4"/>
    <s v="Breads"/>
    <x v="67"/>
    <n v="2"/>
    <n v="1600"/>
    <n v="3200"/>
    <x v="0"/>
    <n v="0"/>
    <x v="291"/>
  </r>
  <r>
    <s v="TXN-00637"/>
    <d v="2025-08-16T00:00:00"/>
    <x v="1"/>
    <s v="August"/>
    <x v="2"/>
    <s v="Lahore"/>
    <x v="2"/>
    <s v="Meat &amp; Poultry"/>
    <x v="118"/>
    <n v="2"/>
    <n v="320"/>
    <n v="640"/>
    <x v="0"/>
    <n v="0"/>
    <x v="427"/>
  </r>
  <r>
    <s v="TXN-00638"/>
    <d v="2024-04-09T00:00:00"/>
    <x v="2"/>
    <s v="April"/>
    <x v="2"/>
    <s v="Lahore"/>
    <x v="0"/>
    <s v="Lentils &amp; Beans"/>
    <x v="26"/>
    <n v="5"/>
    <n v="270"/>
    <n v="1350"/>
    <x v="136"/>
    <n v="71.55"/>
    <x v="428"/>
  </r>
  <r>
    <s v="TXN-00639"/>
    <d v="2025-05-25T00:00:00"/>
    <x v="1"/>
    <s v="May"/>
    <x v="3"/>
    <s v="Islamabad"/>
    <x v="5"/>
    <s v="Makeup"/>
    <x v="117"/>
    <n v="1"/>
    <n v="3300"/>
    <n v="3300"/>
    <x v="43"/>
    <n v="69.300000000000011"/>
    <x v="429"/>
  </r>
  <r>
    <s v="TXN-00640"/>
    <d v="2023-05-26T00:00:00"/>
    <x v="0"/>
    <s v="May"/>
    <x v="3"/>
    <s v="Islamabad"/>
    <x v="2"/>
    <s v="Meat &amp; Poultry"/>
    <x v="15"/>
    <n v="6"/>
    <n v="140"/>
    <n v="840"/>
    <x v="10"/>
    <n v="39.479999999999997"/>
    <x v="430"/>
  </r>
  <r>
    <s v="TXN-00641"/>
    <d v="2025-07-19T00:00:00"/>
    <x v="1"/>
    <s v="July"/>
    <x v="2"/>
    <s v="Lahore"/>
    <x v="4"/>
    <s v="Savoury"/>
    <x v="125"/>
    <n v="5"/>
    <n v="1100"/>
    <n v="5500"/>
    <x v="0"/>
    <n v="0"/>
    <x v="238"/>
  </r>
  <r>
    <s v="TXN-00642"/>
    <d v="2023-06-25T00:00:00"/>
    <x v="0"/>
    <s v="June"/>
    <x v="3"/>
    <s v="Islamabad"/>
    <x v="2"/>
    <s v="Fruits"/>
    <x v="52"/>
    <n v="2"/>
    <n v="600"/>
    <n v="1200"/>
    <x v="0"/>
    <n v="0"/>
    <x v="5"/>
  </r>
  <r>
    <s v="TXN-00643"/>
    <d v="2025-02-20T00:00:00"/>
    <x v="1"/>
    <s v="February"/>
    <x v="3"/>
    <s v="Islamabad"/>
    <x v="1"/>
    <s v="Gadgets"/>
    <x v="136"/>
    <n v="2"/>
    <n v="38000"/>
    <n v="76000"/>
    <x v="0"/>
    <n v="0"/>
    <x v="431"/>
  </r>
  <r>
    <s v="TXN-00644"/>
    <d v="2024-06-04T00:00:00"/>
    <x v="2"/>
    <s v="June"/>
    <x v="0"/>
    <s v="Hyderabad"/>
    <x v="7"/>
    <s v="Educational"/>
    <x v="113"/>
    <n v="4"/>
    <n v="400"/>
    <n v="1600"/>
    <x v="137"/>
    <n v="110.4"/>
    <x v="432"/>
  </r>
  <r>
    <s v="TXN-00645"/>
    <d v="2023-11-26T00:00:00"/>
    <x v="0"/>
    <s v="November"/>
    <x v="3"/>
    <s v="Islamabad"/>
    <x v="5"/>
    <s v="Makeup"/>
    <x v="100"/>
    <n v="1"/>
    <n v="4150"/>
    <n v="4150"/>
    <x v="0"/>
    <n v="0"/>
    <x v="433"/>
  </r>
  <r>
    <s v="TXN-00646"/>
    <d v="2025-08-18T00:00:00"/>
    <x v="1"/>
    <s v="August"/>
    <x v="0"/>
    <s v="Hyderabad"/>
    <x v="4"/>
    <s v="Savoury"/>
    <x v="119"/>
    <n v="2"/>
    <n v="750"/>
    <n v="1500"/>
    <x v="111"/>
    <n v="28.5"/>
    <x v="434"/>
  </r>
  <r>
    <s v="TXN-00647"/>
    <d v="2025-07-28T00:00:00"/>
    <x v="1"/>
    <s v="July"/>
    <x v="1"/>
    <s v="Karachi"/>
    <x v="7"/>
    <s v="Action Figures"/>
    <x v="121"/>
    <n v="1"/>
    <n v="900"/>
    <n v="900"/>
    <x v="34"/>
    <n v="67.5"/>
    <x v="435"/>
  </r>
  <r>
    <s v="TXN-00648"/>
    <d v="2024-08-09T00:00:00"/>
    <x v="2"/>
    <s v="August"/>
    <x v="0"/>
    <s v="Hyderabad"/>
    <x v="4"/>
    <s v="Savoury"/>
    <x v="125"/>
    <n v="4"/>
    <n v="470"/>
    <n v="1880"/>
    <x v="138"/>
    <n v="172.96"/>
    <x v="436"/>
  </r>
  <r>
    <s v="TXN-00649"/>
    <d v="2023-11-11T00:00:00"/>
    <x v="0"/>
    <s v="November"/>
    <x v="0"/>
    <s v="Hyderabad"/>
    <x v="1"/>
    <s v="Mobiles &amp; Tablets"/>
    <x v="69"/>
    <n v="1"/>
    <n v="32500"/>
    <n v="32500"/>
    <x v="139"/>
    <n v="1885"/>
    <x v="437"/>
  </r>
  <r>
    <s v="TXN-00650"/>
    <d v="2024-06-16T00:00:00"/>
    <x v="2"/>
    <s v="June"/>
    <x v="2"/>
    <s v="Lahore"/>
    <x v="3"/>
    <s v="Home Essentials"/>
    <x v="18"/>
    <n v="1"/>
    <n v="1950"/>
    <n v="1950"/>
    <x v="40"/>
    <n v="44.85"/>
    <x v="438"/>
  </r>
  <r>
    <s v="TXN-00651"/>
    <d v="2023-06-28T00:00:00"/>
    <x v="0"/>
    <s v="June"/>
    <x v="0"/>
    <s v="Hyderabad"/>
    <x v="1"/>
    <s v="Gadgets"/>
    <x v="42"/>
    <n v="2"/>
    <n v="8500"/>
    <n v="17000"/>
    <x v="0"/>
    <n v="0"/>
    <x v="414"/>
  </r>
  <r>
    <s v="TXN-00652"/>
    <d v="2025-02-04T00:00:00"/>
    <x v="1"/>
    <s v="February"/>
    <x v="3"/>
    <s v="Islamabad"/>
    <x v="4"/>
    <s v="Cakes &amp; Pastries"/>
    <x v="95"/>
    <n v="8"/>
    <n v="1150"/>
    <n v="9200"/>
    <x v="107"/>
    <n v="377.2"/>
    <x v="439"/>
  </r>
  <r>
    <s v="TXN-00653"/>
    <d v="2025-10-27T00:00:00"/>
    <x v="1"/>
    <s v="October"/>
    <x v="3"/>
    <s v="Islamabad"/>
    <x v="2"/>
    <s v="Fruits"/>
    <x v="77"/>
    <n v="2"/>
    <n v="650"/>
    <n v="1300"/>
    <x v="0"/>
    <n v="0"/>
    <x v="172"/>
  </r>
  <r>
    <s v="TXN-00654"/>
    <d v="2023-01-25T00:00:00"/>
    <x v="0"/>
    <s v="January"/>
    <x v="0"/>
    <s v="Hyderabad"/>
    <x v="6"/>
    <s v="Women's Wear"/>
    <x v="38"/>
    <n v="1"/>
    <n v="6000"/>
    <n v="6000"/>
    <x v="0"/>
    <n v="0"/>
    <x v="38"/>
  </r>
  <r>
    <s v="TXN-00655"/>
    <d v="2024-03-26T00:00:00"/>
    <x v="2"/>
    <s v="March"/>
    <x v="3"/>
    <s v="Islamabad"/>
    <x v="7"/>
    <s v="Plush Toys"/>
    <x v="9"/>
    <n v="1"/>
    <n v="2050"/>
    <n v="2050"/>
    <x v="0"/>
    <n v="0"/>
    <x v="20"/>
  </r>
  <r>
    <s v="TXN-00656"/>
    <d v="2025-11-14T00:00:00"/>
    <x v="1"/>
    <s v="November"/>
    <x v="1"/>
    <s v="Karachi"/>
    <x v="7"/>
    <s v="Plush Toys"/>
    <x v="91"/>
    <n v="1"/>
    <n v="1350"/>
    <n v="1350"/>
    <x v="0"/>
    <n v="0"/>
    <x v="31"/>
  </r>
  <r>
    <s v="TXN-00657"/>
    <d v="2025-11-13T00:00:00"/>
    <x v="1"/>
    <s v="November"/>
    <x v="1"/>
    <s v="Karachi"/>
    <x v="5"/>
    <s v="Makeup"/>
    <x v="117"/>
    <n v="1"/>
    <n v="2100"/>
    <n v="2100"/>
    <x v="0"/>
    <n v="0"/>
    <x v="145"/>
  </r>
  <r>
    <s v="TXN-00658"/>
    <d v="2023-08-11T00:00:00"/>
    <x v="0"/>
    <s v="August"/>
    <x v="1"/>
    <s v="Karachi"/>
    <x v="4"/>
    <s v="Breads"/>
    <x v="104"/>
    <n v="12"/>
    <n v="900"/>
    <n v="10800"/>
    <x v="0"/>
    <n v="0"/>
    <x v="282"/>
  </r>
  <r>
    <s v="TXN-00659"/>
    <d v="2025-11-22T00:00:00"/>
    <x v="1"/>
    <s v="November"/>
    <x v="2"/>
    <s v="Lahore"/>
    <x v="6"/>
    <s v="Men's Wear"/>
    <x v="50"/>
    <n v="1"/>
    <n v="1100"/>
    <n v="1100"/>
    <x v="140"/>
    <n v="262.89999999999998"/>
    <x v="440"/>
  </r>
  <r>
    <s v="TXN-00660"/>
    <d v="2025-02-26T00:00:00"/>
    <x v="1"/>
    <s v="February"/>
    <x v="1"/>
    <s v="Karachi"/>
    <x v="3"/>
    <s v="Laundry"/>
    <x v="111"/>
    <n v="1"/>
    <n v="650"/>
    <n v="650"/>
    <x v="0"/>
    <n v="0"/>
    <x v="227"/>
  </r>
  <r>
    <s v="TXN-00661"/>
    <d v="2023-08-16T00:00:00"/>
    <x v="0"/>
    <s v="August"/>
    <x v="2"/>
    <s v="Lahore"/>
    <x v="0"/>
    <s v="Cooking Oil"/>
    <x v="80"/>
    <n v="6"/>
    <n v="550"/>
    <n v="3300"/>
    <x v="0"/>
    <n v="0"/>
    <x v="213"/>
  </r>
  <r>
    <s v="TXN-00662"/>
    <d v="2023-03-10T00:00:00"/>
    <x v="0"/>
    <s v="March"/>
    <x v="2"/>
    <s v="Lahore"/>
    <x v="0"/>
    <s v="Lentils &amp; Beans"/>
    <x v="40"/>
    <n v="2"/>
    <n v="150"/>
    <n v="300"/>
    <x v="141"/>
    <n v="13.5"/>
    <x v="441"/>
  </r>
  <r>
    <s v="TXN-00663"/>
    <d v="2025-05-08T00:00:00"/>
    <x v="1"/>
    <s v="May"/>
    <x v="3"/>
    <s v="Islamabad"/>
    <x v="0"/>
    <s v="Cooking Oil"/>
    <x v="127"/>
    <n v="1"/>
    <n v="290"/>
    <n v="290"/>
    <x v="142"/>
    <n v="17.11"/>
    <x v="442"/>
  </r>
  <r>
    <s v="TXN-00664"/>
    <d v="2023-11-15T00:00:00"/>
    <x v="0"/>
    <s v="November"/>
    <x v="3"/>
    <s v="Islamabad"/>
    <x v="2"/>
    <s v="Fruits"/>
    <x v="123"/>
    <n v="3"/>
    <n v="120"/>
    <n v="360"/>
    <x v="0"/>
    <n v="0"/>
    <x v="443"/>
  </r>
  <r>
    <s v="TXN-00665"/>
    <d v="2025-06-25T00:00:00"/>
    <x v="1"/>
    <s v="June"/>
    <x v="2"/>
    <s v="Lahore"/>
    <x v="7"/>
    <s v="Plush Toys"/>
    <x v="11"/>
    <n v="1"/>
    <n v="4200"/>
    <n v="4200"/>
    <x v="0"/>
    <n v="0"/>
    <x v="159"/>
  </r>
  <r>
    <s v="TXN-00666"/>
    <d v="2025-03-23T00:00:00"/>
    <x v="1"/>
    <s v="March"/>
    <x v="2"/>
    <s v="Lahore"/>
    <x v="3"/>
    <s v="Home Essentials"/>
    <x v="102"/>
    <n v="2"/>
    <n v="2000"/>
    <n v="4000"/>
    <x v="41"/>
    <n v="348"/>
    <x v="444"/>
  </r>
  <r>
    <s v="TXN-00667"/>
    <d v="2024-08-30T00:00:00"/>
    <x v="2"/>
    <s v="August"/>
    <x v="1"/>
    <s v="Karachi"/>
    <x v="1"/>
    <s v="Small Appliances"/>
    <x v="68"/>
    <n v="1"/>
    <n v="1550"/>
    <n v="1550"/>
    <x v="0"/>
    <n v="0"/>
    <x v="41"/>
  </r>
  <r>
    <s v="TXN-00668"/>
    <d v="2024-09-26T00:00:00"/>
    <x v="2"/>
    <s v="September"/>
    <x v="1"/>
    <s v="Karachi"/>
    <x v="2"/>
    <s v="Dairy"/>
    <x v="37"/>
    <n v="4"/>
    <n v="1100"/>
    <n v="4400"/>
    <x v="0"/>
    <n v="0"/>
    <x v="50"/>
  </r>
  <r>
    <s v="TXN-00669"/>
    <d v="2023-06-06T00:00:00"/>
    <x v="0"/>
    <s v="June"/>
    <x v="0"/>
    <s v="Hyderabad"/>
    <x v="7"/>
    <s v="Educational"/>
    <x v="129"/>
    <n v="1"/>
    <n v="1350"/>
    <n v="1350"/>
    <x v="143"/>
    <n v="317.25"/>
    <x v="445"/>
  </r>
  <r>
    <s v="TXN-00670"/>
    <d v="2025-04-15T00:00:00"/>
    <x v="1"/>
    <s v="April"/>
    <x v="0"/>
    <s v="Hyderabad"/>
    <x v="0"/>
    <s v="Packaged Foods"/>
    <x v="73"/>
    <n v="1"/>
    <n v="1350"/>
    <n v="1350"/>
    <x v="0"/>
    <n v="0"/>
    <x v="31"/>
  </r>
  <r>
    <s v="TXN-00671"/>
    <d v="2025-06-09T00:00:00"/>
    <x v="1"/>
    <s v="June"/>
    <x v="1"/>
    <s v="Karachi"/>
    <x v="1"/>
    <s v="Audio &amp; Accessories"/>
    <x v="62"/>
    <n v="1"/>
    <n v="1850"/>
    <n v="1850"/>
    <x v="0"/>
    <n v="0"/>
    <x v="13"/>
  </r>
  <r>
    <s v="TXN-00672"/>
    <d v="2024-06-18T00:00:00"/>
    <x v="2"/>
    <s v="June"/>
    <x v="3"/>
    <s v="Islamabad"/>
    <x v="7"/>
    <s v="Action Figures"/>
    <x v="75"/>
    <n v="2"/>
    <n v="2850"/>
    <n v="5700"/>
    <x v="0"/>
    <n v="0"/>
    <x v="156"/>
  </r>
  <r>
    <s v="TXN-00673"/>
    <d v="2024-01-02T00:00:00"/>
    <x v="2"/>
    <s v="January"/>
    <x v="0"/>
    <s v="Hyderabad"/>
    <x v="1"/>
    <s v="Mobiles &amp; Tablets"/>
    <x v="55"/>
    <n v="1"/>
    <n v="75500"/>
    <n v="75500"/>
    <x v="0"/>
    <n v="0"/>
    <x v="446"/>
  </r>
  <r>
    <s v="TXN-00674"/>
    <d v="2023-07-18T00:00:00"/>
    <x v="0"/>
    <s v="July"/>
    <x v="2"/>
    <s v="Lahore"/>
    <x v="1"/>
    <s v="Small Appliances"/>
    <x v="68"/>
    <n v="1"/>
    <n v="26000"/>
    <n v="26000"/>
    <x v="0"/>
    <n v="0"/>
    <x v="330"/>
  </r>
  <r>
    <s v="TXN-00675"/>
    <d v="2023-01-03T00:00:00"/>
    <x v="0"/>
    <s v="January"/>
    <x v="2"/>
    <s v="Lahore"/>
    <x v="0"/>
    <s v="Rice &amp; Grains"/>
    <x v="36"/>
    <n v="6"/>
    <n v="1800"/>
    <n v="10800"/>
    <x v="0"/>
    <n v="0"/>
    <x v="282"/>
  </r>
  <r>
    <s v="TXN-00676"/>
    <d v="2024-04-20T00:00:00"/>
    <x v="2"/>
    <s v="April"/>
    <x v="0"/>
    <s v="Hyderabad"/>
    <x v="0"/>
    <s v="Rice &amp; Grains"/>
    <x v="23"/>
    <n v="4"/>
    <n v="1700"/>
    <n v="6800"/>
    <x v="0"/>
    <n v="0"/>
    <x v="447"/>
  </r>
  <r>
    <s v="TXN-00677"/>
    <d v="2025-12-31T00:00:00"/>
    <x v="1"/>
    <s v="December"/>
    <x v="1"/>
    <s v="Karachi"/>
    <x v="3"/>
    <s v="Cleaning Supplies"/>
    <x v="131"/>
    <n v="2"/>
    <n v="3600"/>
    <n v="7200"/>
    <x v="56"/>
    <n v="201.6"/>
    <x v="448"/>
  </r>
  <r>
    <s v="TXN-00678"/>
    <d v="2023-05-02T00:00:00"/>
    <x v="0"/>
    <s v="May"/>
    <x v="1"/>
    <s v="Karachi"/>
    <x v="1"/>
    <s v="Audio &amp; Accessories"/>
    <x v="98"/>
    <n v="1"/>
    <n v="63500"/>
    <n v="63500"/>
    <x v="0"/>
    <n v="0"/>
    <x v="65"/>
  </r>
  <r>
    <s v="TXN-00679"/>
    <d v="2025-08-25T00:00:00"/>
    <x v="1"/>
    <s v="August"/>
    <x v="0"/>
    <s v="Hyderabad"/>
    <x v="0"/>
    <s v="Packaged Foods"/>
    <x v="73"/>
    <n v="8"/>
    <n v="460"/>
    <n v="3680"/>
    <x v="0"/>
    <n v="0"/>
    <x v="449"/>
  </r>
  <r>
    <s v="TXN-00680"/>
    <d v="2025-07-16T00:00:00"/>
    <x v="1"/>
    <s v="July"/>
    <x v="1"/>
    <s v="Karachi"/>
    <x v="2"/>
    <s v="Dairy"/>
    <x v="49"/>
    <n v="1"/>
    <n v="500"/>
    <n v="500"/>
    <x v="0"/>
    <n v="0"/>
    <x v="168"/>
  </r>
  <r>
    <s v="TXN-00681"/>
    <d v="2025-02-04T00:00:00"/>
    <x v="1"/>
    <s v="February"/>
    <x v="0"/>
    <s v="Hyderabad"/>
    <x v="1"/>
    <s v="Gadgets"/>
    <x v="99"/>
    <n v="1"/>
    <n v="29500"/>
    <n v="29500"/>
    <x v="0"/>
    <n v="0"/>
    <x v="450"/>
  </r>
  <r>
    <s v="TXN-00682"/>
    <d v="2023-12-09T00:00:00"/>
    <x v="0"/>
    <s v="December"/>
    <x v="1"/>
    <s v="Karachi"/>
    <x v="0"/>
    <s v="Rice &amp; Grains"/>
    <x v="23"/>
    <n v="2"/>
    <n v="1050"/>
    <n v="2100"/>
    <x v="0"/>
    <n v="0"/>
    <x v="145"/>
  </r>
  <r>
    <s v="TXN-00683"/>
    <d v="2023-03-31T00:00:00"/>
    <x v="0"/>
    <s v="March"/>
    <x v="3"/>
    <s v="Islamabad"/>
    <x v="4"/>
    <s v="Savoury"/>
    <x v="48"/>
    <n v="4"/>
    <n v="260"/>
    <n v="1040"/>
    <x v="62"/>
    <n v="56.16"/>
    <x v="451"/>
  </r>
  <r>
    <s v="TXN-00684"/>
    <d v="2024-09-01T00:00:00"/>
    <x v="2"/>
    <s v="September"/>
    <x v="3"/>
    <s v="Islamabad"/>
    <x v="4"/>
    <s v="Savoury"/>
    <x v="125"/>
    <n v="6"/>
    <n v="1500"/>
    <n v="9000"/>
    <x v="99"/>
    <n v="576"/>
    <x v="452"/>
  </r>
  <r>
    <s v="TXN-00685"/>
    <d v="2025-07-26T00:00:00"/>
    <x v="1"/>
    <s v="July"/>
    <x v="3"/>
    <s v="Islamabad"/>
    <x v="0"/>
    <s v="Cooking Oil"/>
    <x v="127"/>
    <n v="6"/>
    <n v="600"/>
    <n v="3600"/>
    <x v="0"/>
    <n v="0"/>
    <x v="72"/>
  </r>
  <r>
    <s v="TXN-00686"/>
    <d v="2025-07-01T00:00:00"/>
    <x v="1"/>
    <s v="July"/>
    <x v="3"/>
    <s v="Islamabad"/>
    <x v="3"/>
    <s v="Home Essentials"/>
    <x v="115"/>
    <n v="2"/>
    <n v="600"/>
    <n v="1200"/>
    <x v="0"/>
    <n v="0"/>
    <x v="5"/>
  </r>
  <r>
    <s v="TXN-00687"/>
    <d v="2025-06-18T00:00:00"/>
    <x v="1"/>
    <s v="June"/>
    <x v="2"/>
    <s v="Lahore"/>
    <x v="2"/>
    <s v="Fruits"/>
    <x v="52"/>
    <n v="5"/>
    <n v="250"/>
    <n v="1250"/>
    <x v="0"/>
    <n v="0"/>
    <x v="214"/>
  </r>
  <r>
    <s v="TXN-00688"/>
    <d v="2025-02-26T00:00:00"/>
    <x v="1"/>
    <s v="February"/>
    <x v="3"/>
    <s v="Islamabad"/>
    <x v="6"/>
    <s v="Men's Wear"/>
    <x v="35"/>
    <n v="1"/>
    <n v="5500"/>
    <n v="5500"/>
    <x v="0"/>
    <n v="0"/>
    <x v="238"/>
  </r>
  <r>
    <s v="TXN-00689"/>
    <d v="2023-12-05T00:00:00"/>
    <x v="0"/>
    <s v="December"/>
    <x v="2"/>
    <s v="Lahore"/>
    <x v="1"/>
    <s v="Small Appliances"/>
    <x v="110"/>
    <n v="1"/>
    <n v="50000"/>
    <n v="50000"/>
    <x v="0"/>
    <n v="0"/>
    <x v="453"/>
  </r>
  <r>
    <s v="TXN-00690"/>
    <d v="2023-01-30T00:00:00"/>
    <x v="0"/>
    <s v="January"/>
    <x v="3"/>
    <s v="Islamabad"/>
    <x v="1"/>
    <s v="Small Appliances"/>
    <x v="21"/>
    <n v="2"/>
    <n v="22500"/>
    <n v="45000"/>
    <x v="0"/>
    <n v="0"/>
    <x v="454"/>
  </r>
  <r>
    <s v="TXN-00691"/>
    <d v="2023-03-15T00:00:00"/>
    <x v="0"/>
    <s v="March"/>
    <x v="0"/>
    <s v="Hyderabad"/>
    <x v="7"/>
    <s v="Plush Toys"/>
    <x v="11"/>
    <n v="1"/>
    <n v="4500"/>
    <n v="4500"/>
    <x v="144"/>
    <n v="778.49999999999989"/>
    <x v="455"/>
  </r>
  <r>
    <s v="TXN-00692"/>
    <d v="2024-03-06T00:00:00"/>
    <x v="2"/>
    <s v="March"/>
    <x v="3"/>
    <s v="Islamabad"/>
    <x v="6"/>
    <s v="Women's Wear"/>
    <x v="16"/>
    <n v="2"/>
    <n v="6500"/>
    <n v="13000"/>
    <x v="0"/>
    <n v="0"/>
    <x v="456"/>
  </r>
  <r>
    <s v="TXN-00693"/>
    <d v="2025-03-04T00:00:00"/>
    <x v="1"/>
    <s v="March"/>
    <x v="3"/>
    <s v="Islamabad"/>
    <x v="0"/>
    <s v="Beverages"/>
    <x v="0"/>
    <n v="1"/>
    <n v="140"/>
    <n v="140"/>
    <x v="0"/>
    <n v="0"/>
    <x v="457"/>
  </r>
  <r>
    <s v="TXN-00694"/>
    <d v="2024-06-20T00:00:00"/>
    <x v="2"/>
    <s v="June"/>
    <x v="0"/>
    <s v="Hyderabad"/>
    <x v="7"/>
    <s v="Plush Toys"/>
    <x v="91"/>
    <n v="1"/>
    <n v="3850"/>
    <n v="3850"/>
    <x v="0"/>
    <n v="0"/>
    <x v="333"/>
  </r>
  <r>
    <s v="TXN-00695"/>
    <d v="2024-03-01T00:00:00"/>
    <x v="2"/>
    <s v="March"/>
    <x v="3"/>
    <s v="Islamabad"/>
    <x v="3"/>
    <s v="Home Essentials"/>
    <x v="115"/>
    <n v="1"/>
    <n v="2850"/>
    <n v="2850"/>
    <x v="43"/>
    <n v="59.85"/>
    <x v="458"/>
  </r>
  <r>
    <s v="TXN-00696"/>
    <d v="2023-07-18T00:00:00"/>
    <x v="0"/>
    <s v="July"/>
    <x v="3"/>
    <s v="Islamabad"/>
    <x v="5"/>
    <s v="Personal Care"/>
    <x v="32"/>
    <n v="1"/>
    <n v="2800"/>
    <n v="2800"/>
    <x v="0"/>
    <n v="0"/>
    <x v="2"/>
  </r>
  <r>
    <s v="TXN-00697"/>
    <d v="2023-09-29T00:00:00"/>
    <x v="0"/>
    <s v="September"/>
    <x v="0"/>
    <s v="Hyderabad"/>
    <x v="2"/>
    <s v="Fruits"/>
    <x v="77"/>
    <n v="5"/>
    <n v="230"/>
    <n v="1150"/>
    <x v="0"/>
    <n v="0"/>
    <x v="316"/>
  </r>
  <r>
    <s v="TXN-00698"/>
    <d v="2023-11-10T00:00:00"/>
    <x v="0"/>
    <s v="November"/>
    <x v="3"/>
    <s v="Islamabad"/>
    <x v="0"/>
    <s v="Rice &amp; Grains"/>
    <x v="71"/>
    <n v="3"/>
    <n v="450"/>
    <n v="1350"/>
    <x v="139"/>
    <n v="78.3"/>
    <x v="459"/>
  </r>
  <r>
    <s v="TXN-00699"/>
    <d v="2024-02-25T00:00:00"/>
    <x v="2"/>
    <s v="February"/>
    <x v="3"/>
    <s v="Islamabad"/>
    <x v="1"/>
    <s v="Small Appliances"/>
    <x v="110"/>
    <n v="1"/>
    <n v="29000"/>
    <n v="29000"/>
    <x v="0"/>
    <n v="0"/>
    <x v="460"/>
  </r>
  <r>
    <s v="TXN-00700"/>
    <d v="2023-06-22T00:00:00"/>
    <x v="0"/>
    <s v="June"/>
    <x v="0"/>
    <s v="Hyderabad"/>
    <x v="4"/>
    <s v="Cakes &amp; Pastries"/>
    <x v="87"/>
    <n v="2"/>
    <n v="1500"/>
    <n v="3000"/>
    <x v="0"/>
    <n v="0"/>
    <x v="0"/>
  </r>
  <r>
    <s v="TXN-00701"/>
    <d v="2024-11-05T00:00:00"/>
    <x v="2"/>
    <s v="November"/>
    <x v="1"/>
    <s v="Karachi"/>
    <x v="2"/>
    <s v="Fruits"/>
    <x v="52"/>
    <n v="4"/>
    <n v="430"/>
    <n v="1720"/>
    <x v="0"/>
    <n v="0"/>
    <x v="461"/>
  </r>
  <r>
    <s v="TXN-00702"/>
    <d v="2025-01-04T00:00:00"/>
    <x v="1"/>
    <s v="January"/>
    <x v="1"/>
    <s v="Karachi"/>
    <x v="0"/>
    <s v="Lentils &amp; Beans"/>
    <x v="40"/>
    <n v="3"/>
    <n v="1950"/>
    <n v="5850"/>
    <x v="145"/>
    <n v="386.1"/>
    <x v="462"/>
  </r>
  <r>
    <s v="TXN-00703"/>
    <d v="2024-03-16T00:00:00"/>
    <x v="2"/>
    <s v="March"/>
    <x v="3"/>
    <s v="Islamabad"/>
    <x v="5"/>
    <s v="Makeup"/>
    <x v="117"/>
    <n v="1"/>
    <n v="2800"/>
    <n v="2800"/>
    <x v="0"/>
    <n v="0"/>
    <x v="2"/>
  </r>
  <r>
    <s v="TXN-00704"/>
    <d v="2025-01-12T00:00:00"/>
    <x v="1"/>
    <s v="January"/>
    <x v="0"/>
    <s v="Hyderabad"/>
    <x v="4"/>
    <s v="Savoury"/>
    <x v="48"/>
    <n v="1"/>
    <n v="320"/>
    <n v="320"/>
    <x v="0"/>
    <n v="0"/>
    <x v="463"/>
  </r>
  <r>
    <s v="TXN-00705"/>
    <d v="2023-03-09T00:00:00"/>
    <x v="0"/>
    <s v="March"/>
    <x v="2"/>
    <s v="Lahore"/>
    <x v="5"/>
    <s v="Makeup"/>
    <x v="100"/>
    <n v="1"/>
    <n v="850"/>
    <n v="850"/>
    <x v="65"/>
    <n v="44.199999999999996"/>
    <x v="464"/>
  </r>
  <r>
    <s v="TXN-00706"/>
    <d v="2024-12-16T00:00:00"/>
    <x v="2"/>
    <s v="December"/>
    <x v="2"/>
    <s v="Lahore"/>
    <x v="3"/>
    <s v="Cleaning Supplies"/>
    <x v="85"/>
    <n v="5"/>
    <n v="2000"/>
    <n v="10000"/>
    <x v="93"/>
    <n v="550"/>
    <x v="465"/>
  </r>
  <r>
    <s v="TXN-00707"/>
    <d v="2023-10-31T00:00:00"/>
    <x v="0"/>
    <s v="October"/>
    <x v="0"/>
    <s v="Hyderabad"/>
    <x v="2"/>
    <s v="Fruits"/>
    <x v="28"/>
    <n v="2"/>
    <n v="500"/>
    <n v="1000"/>
    <x v="33"/>
    <n v="14"/>
    <x v="466"/>
  </r>
  <r>
    <s v="TXN-00708"/>
    <d v="2024-05-23T00:00:00"/>
    <x v="2"/>
    <s v="May"/>
    <x v="3"/>
    <s v="Islamabad"/>
    <x v="4"/>
    <s v="Cakes &amp; Pastries"/>
    <x v="95"/>
    <n v="12"/>
    <n v="1450"/>
    <n v="17400"/>
    <x v="146"/>
    <n v="1461.6000000000001"/>
    <x v="467"/>
  </r>
  <r>
    <s v="TXN-00709"/>
    <d v="2023-05-17T00:00:00"/>
    <x v="0"/>
    <s v="May"/>
    <x v="0"/>
    <s v="Hyderabad"/>
    <x v="0"/>
    <s v="Packaged Foods"/>
    <x v="112"/>
    <n v="1"/>
    <n v="600"/>
    <n v="600"/>
    <x v="0"/>
    <n v="0"/>
    <x v="140"/>
  </r>
  <r>
    <s v="TXN-00710"/>
    <d v="2024-12-02T00:00:00"/>
    <x v="2"/>
    <s v="December"/>
    <x v="2"/>
    <s v="Lahore"/>
    <x v="6"/>
    <s v="Men's Wear"/>
    <x v="12"/>
    <n v="1"/>
    <n v="2900"/>
    <n v="2900"/>
    <x v="0"/>
    <n v="0"/>
    <x v="123"/>
  </r>
  <r>
    <s v="TXN-00711"/>
    <d v="2025-02-12T00:00:00"/>
    <x v="1"/>
    <s v="February"/>
    <x v="0"/>
    <s v="Hyderabad"/>
    <x v="1"/>
    <s v="Mobiles &amp; Tablets"/>
    <x v="101"/>
    <n v="1"/>
    <n v="75000"/>
    <n v="75000"/>
    <x v="147"/>
    <n v="6000"/>
    <x v="468"/>
  </r>
  <r>
    <s v="TXN-00712"/>
    <d v="2024-10-14T00:00:00"/>
    <x v="2"/>
    <s v="October"/>
    <x v="3"/>
    <s v="Islamabad"/>
    <x v="1"/>
    <s v="Gadgets"/>
    <x v="99"/>
    <n v="1"/>
    <n v="20000"/>
    <n v="20000"/>
    <x v="147"/>
    <n v="1600"/>
    <x v="267"/>
  </r>
  <r>
    <s v="TXN-00713"/>
    <d v="2024-03-27T00:00:00"/>
    <x v="2"/>
    <s v="March"/>
    <x v="3"/>
    <s v="Islamabad"/>
    <x v="5"/>
    <s v="Skincare"/>
    <x v="6"/>
    <n v="2"/>
    <n v="800"/>
    <n v="1600"/>
    <x v="0"/>
    <n v="0"/>
    <x v="469"/>
  </r>
  <r>
    <s v="TXN-00714"/>
    <d v="2025-02-04T00:00:00"/>
    <x v="1"/>
    <s v="February"/>
    <x v="0"/>
    <s v="Hyderabad"/>
    <x v="1"/>
    <s v="Audio &amp; Accessories"/>
    <x v="92"/>
    <n v="1"/>
    <n v="82500"/>
    <n v="82500"/>
    <x v="0"/>
    <n v="0"/>
    <x v="470"/>
  </r>
  <r>
    <s v="TXN-00715"/>
    <d v="2023-07-14T00:00:00"/>
    <x v="0"/>
    <s v="July"/>
    <x v="2"/>
    <s v="Lahore"/>
    <x v="0"/>
    <s v="Rice &amp; Grains"/>
    <x v="64"/>
    <n v="4"/>
    <n v="490"/>
    <n v="1960"/>
    <x v="0"/>
    <n v="0"/>
    <x v="471"/>
  </r>
  <r>
    <s v="TXN-00716"/>
    <d v="2025-09-12T00:00:00"/>
    <x v="1"/>
    <s v="September"/>
    <x v="2"/>
    <s v="Lahore"/>
    <x v="1"/>
    <s v="Mobiles &amp; Tablets"/>
    <x v="1"/>
    <n v="1"/>
    <n v="8000"/>
    <n v="8000"/>
    <x v="0"/>
    <n v="0"/>
    <x v="216"/>
  </r>
  <r>
    <s v="TXN-00717"/>
    <d v="2024-06-15T00:00:00"/>
    <x v="2"/>
    <s v="June"/>
    <x v="3"/>
    <s v="Islamabad"/>
    <x v="2"/>
    <s v="Meat &amp; Poultry"/>
    <x v="118"/>
    <n v="2"/>
    <n v="600"/>
    <n v="1200"/>
    <x v="0"/>
    <n v="0"/>
    <x v="5"/>
  </r>
  <r>
    <s v="TXN-00718"/>
    <d v="2024-09-15T00:00:00"/>
    <x v="2"/>
    <s v="September"/>
    <x v="1"/>
    <s v="Karachi"/>
    <x v="0"/>
    <s v="Spices"/>
    <x v="82"/>
    <n v="2"/>
    <n v="1400"/>
    <n v="2800"/>
    <x v="0"/>
    <n v="0"/>
    <x v="2"/>
  </r>
  <r>
    <s v="TXN-00719"/>
    <d v="2025-12-31T00:00:00"/>
    <x v="1"/>
    <s v="December"/>
    <x v="1"/>
    <s v="Karachi"/>
    <x v="6"/>
    <s v="Women's Wear"/>
    <x v="7"/>
    <n v="1"/>
    <n v="5500"/>
    <n v="5500"/>
    <x v="0"/>
    <n v="0"/>
    <x v="238"/>
  </r>
  <r>
    <s v="TXN-00720"/>
    <d v="2025-06-22T00:00:00"/>
    <x v="1"/>
    <s v="June"/>
    <x v="2"/>
    <s v="Lahore"/>
    <x v="6"/>
    <s v="Women's Wear"/>
    <x v="7"/>
    <n v="1"/>
    <n v="3900"/>
    <n v="3900"/>
    <x v="0"/>
    <n v="0"/>
    <x v="187"/>
  </r>
  <r>
    <s v="TXN-00721"/>
    <d v="2023-12-04T00:00:00"/>
    <x v="0"/>
    <s v="December"/>
    <x v="3"/>
    <s v="Islamabad"/>
    <x v="2"/>
    <s v="Meat &amp; Poultry"/>
    <x v="15"/>
    <n v="4"/>
    <n v="500"/>
    <n v="2000"/>
    <x v="96"/>
    <n v="24"/>
    <x v="472"/>
  </r>
  <r>
    <s v="TXN-00722"/>
    <d v="2023-01-16T00:00:00"/>
    <x v="0"/>
    <s v="January"/>
    <x v="1"/>
    <s v="Karachi"/>
    <x v="7"/>
    <s v="Board Games"/>
    <x v="88"/>
    <n v="1"/>
    <n v="1450"/>
    <n v="1450"/>
    <x v="0"/>
    <n v="0"/>
    <x v="35"/>
  </r>
  <r>
    <s v="TXN-00723"/>
    <d v="2024-08-17T00:00:00"/>
    <x v="2"/>
    <s v="August"/>
    <x v="2"/>
    <s v="Lahore"/>
    <x v="1"/>
    <s v="Gadgets"/>
    <x v="25"/>
    <n v="1"/>
    <n v="2500"/>
    <n v="2500"/>
    <x v="62"/>
    <n v="135"/>
    <x v="473"/>
  </r>
  <r>
    <s v="TXN-00724"/>
    <d v="2024-06-10T00:00:00"/>
    <x v="2"/>
    <s v="June"/>
    <x v="1"/>
    <s v="Karachi"/>
    <x v="2"/>
    <s v="Meat &amp; Poultry"/>
    <x v="118"/>
    <n v="6"/>
    <n v="800"/>
    <n v="4800"/>
    <x v="148"/>
    <n v="153.6"/>
    <x v="474"/>
  </r>
  <r>
    <s v="TXN-00725"/>
    <d v="2023-07-02T00:00:00"/>
    <x v="0"/>
    <s v="July"/>
    <x v="2"/>
    <s v="Lahore"/>
    <x v="0"/>
    <s v="Packaged Foods"/>
    <x v="10"/>
    <n v="2"/>
    <n v="2200"/>
    <n v="4400"/>
    <x v="33"/>
    <n v="61.6"/>
    <x v="475"/>
  </r>
  <r>
    <s v="TXN-00726"/>
    <d v="2024-12-07T00:00:00"/>
    <x v="2"/>
    <s v="December"/>
    <x v="3"/>
    <s v="Islamabad"/>
    <x v="3"/>
    <s v="Home Essentials"/>
    <x v="115"/>
    <n v="1"/>
    <n v="1150"/>
    <n v="1150"/>
    <x v="0"/>
    <n v="0"/>
    <x v="316"/>
  </r>
  <r>
    <s v="TXN-00727"/>
    <d v="2025-11-15T00:00:00"/>
    <x v="1"/>
    <s v="November"/>
    <x v="1"/>
    <s v="Karachi"/>
    <x v="3"/>
    <s v="Kitchenware"/>
    <x v="5"/>
    <n v="2"/>
    <n v="410"/>
    <n v="820"/>
    <x v="0"/>
    <n v="0"/>
    <x v="476"/>
  </r>
  <r>
    <s v="TXN-00728"/>
    <d v="2023-01-17T00:00:00"/>
    <x v="0"/>
    <s v="January"/>
    <x v="0"/>
    <s v="Hyderabad"/>
    <x v="2"/>
    <s v="Meat &amp; Poultry"/>
    <x v="15"/>
    <n v="3"/>
    <n v="1000"/>
    <n v="3000"/>
    <x v="0"/>
    <n v="0"/>
    <x v="0"/>
  </r>
  <r>
    <s v="TXN-00729"/>
    <d v="2025-10-24T00:00:00"/>
    <x v="1"/>
    <s v="October"/>
    <x v="0"/>
    <s v="Hyderabad"/>
    <x v="3"/>
    <s v="Home Essentials"/>
    <x v="102"/>
    <n v="2"/>
    <n v="1250"/>
    <n v="2500"/>
    <x v="0"/>
    <n v="0"/>
    <x v="118"/>
  </r>
  <r>
    <s v="TXN-00730"/>
    <d v="2025-12-01T00:00:00"/>
    <x v="1"/>
    <s v="December"/>
    <x v="3"/>
    <s v="Islamabad"/>
    <x v="6"/>
    <s v="Kids Wear"/>
    <x v="44"/>
    <n v="1"/>
    <n v="2500"/>
    <n v="2500"/>
    <x v="0"/>
    <n v="0"/>
    <x v="118"/>
  </r>
  <r>
    <s v="TXN-00731"/>
    <d v="2024-10-01T00:00:00"/>
    <x v="2"/>
    <s v="October"/>
    <x v="0"/>
    <s v="Hyderabad"/>
    <x v="0"/>
    <s v="Rice &amp; Grains"/>
    <x v="71"/>
    <n v="10"/>
    <n v="1100"/>
    <n v="11000"/>
    <x v="0"/>
    <n v="0"/>
    <x v="477"/>
  </r>
  <r>
    <s v="TXN-00732"/>
    <d v="2025-09-23T00:00:00"/>
    <x v="1"/>
    <s v="September"/>
    <x v="3"/>
    <s v="Islamabad"/>
    <x v="6"/>
    <s v="Kids Wear"/>
    <x v="41"/>
    <n v="1"/>
    <n v="3900"/>
    <n v="3900"/>
    <x v="0"/>
    <n v="0"/>
    <x v="187"/>
  </r>
  <r>
    <s v="TXN-00733"/>
    <d v="2024-04-06T00:00:00"/>
    <x v="2"/>
    <s v="April"/>
    <x v="1"/>
    <s v="Karachi"/>
    <x v="6"/>
    <s v="Footwear"/>
    <x v="114"/>
    <n v="1"/>
    <n v="3150"/>
    <n v="3150"/>
    <x v="0"/>
    <n v="0"/>
    <x v="232"/>
  </r>
  <r>
    <s v="TXN-00734"/>
    <d v="2023-11-24T00:00:00"/>
    <x v="0"/>
    <s v="November"/>
    <x v="1"/>
    <s v="Karachi"/>
    <x v="7"/>
    <s v="Educational"/>
    <x v="129"/>
    <n v="1"/>
    <n v="700"/>
    <n v="700"/>
    <x v="0"/>
    <n v="0"/>
    <x v="478"/>
  </r>
  <r>
    <s v="TXN-00735"/>
    <d v="2025-02-12T00:00:00"/>
    <x v="1"/>
    <s v="February"/>
    <x v="0"/>
    <s v="Hyderabad"/>
    <x v="4"/>
    <s v="Cookies"/>
    <x v="4"/>
    <n v="1"/>
    <n v="600"/>
    <n v="600"/>
    <x v="0"/>
    <n v="0"/>
    <x v="140"/>
  </r>
  <r>
    <s v="TXN-00736"/>
    <d v="2024-11-13T00:00:00"/>
    <x v="2"/>
    <s v="November"/>
    <x v="2"/>
    <s v="Lahore"/>
    <x v="2"/>
    <s v="Vegetables"/>
    <x v="81"/>
    <n v="1"/>
    <n v="1150"/>
    <n v="1150"/>
    <x v="48"/>
    <n v="31.05"/>
    <x v="479"/>
  </r>
  <r>
    <s v="TXN-00737"/>
    <d v="2025-07-23T00:00:00"/>
    <x v="1"/>
    <s v="July"/>
    <x v="3"/>
    <s v="Islamabad"/>
    <x v="7"/>
    <s v="Plush Toys"/>
    <x v="9"/>
    <n v="2"/>
    <n v="3450"/>
    <n v="6900"/>
    <x v="0"/>
    <n v="0"/>
    <x v="363"/>
  </r>
  <r>
    <s v="TXN-00738"/>
    <d v="2023-07-17T00:00:00"/>
    <x v="0"/>
    <s v="July"/>
    <x v="3"/>
    <s v="Islamabad"/>
    <x v="7"/>
    <s v="Board Games"/>
    <x v="88"/>
    <n v="1"/>
    <n v="900"/>
    <n v="900"/>
    <x v="76"/>
    <n v="58.5"/>
    <x v="480"/>
  </r>
  <r>
    <s v="TXN-00739"/>
    <d v="2025-03-07T00:00:00"/>
    <x v="1"/>
    <s v="March"/>
    <x v="0"/>
    <s v="Hyderabad"/>
    <x v="2"/>
    <s v="Dairy"/>
    <x v="49"/>
    <n v="5"/>
    <n v="210"/>
    <n v="1050"/>
    <x v="45"/>
    <n v="39.9"/>
    <x v="481"/>
  </r>
  <r>
    <s v="TXN-00740"/>
    <d v="2024-02-06T00:00:00"/>
    <x v="2"/>
    <s v="February"/>
    <x v="3"/>
    <s v="Islamabad"/>
    <x v="1"/>
    <s v="Mobiles &amp; Tablets"/>
    <x v="101"/>
    <n v="1"/>
    <n v="44500"/>
    <n v="44500"/>
    <x v="67"/>
    <n v="6497"/>
    <x v="482"/>
  </r>
  <r>
    <s v="TXN-00741"/>
    <d v="2023-09-05T00:00:00"/>
    <x v="0"/>
    <s v="September"/>
    <x v="3"/>
    <s v="Islamabad"/>
    <x v="2"/>
    <s v="Meat &amp; Poultry"/>
    <x v="118"/>
    <n v="1"/>
    <n v="360"/>
    <n v="360"/>
    <x v="42"/>
    <n v="1.08"/>
    <x v="483"/>
  </r>
  <r>
    <s v="TXN-00742"/>
    <d v="2023-02-24T00:00:00"/>
    <x v="0"/>
    <s v="February"/>
    <x v="2"/>
    <s v="Lahore"/>
    <x v="4"/>
    <s v="Savoury"/>
    <x v="107"/>
    <n v="2"/>
    <n v="1800"/>
    <n v="3600"/>
    <x v="0"/>
    <n v="0"/>
    <x v="72"/>
  </r>
  <r>
    <s v="TXN-00743"/>
    <d v="2024-01-10T00:00:00"/>
    <x v="2"/>
    <s v="January"/>
    <x v="2"/>
    <s v="Lahore"/>
    <x v="3"/>
    <s v="Cleaning Supplies"/>
    <x v="131"/>
    <n v="2"/>
    <n v="2000"/>
    <n v="4000"/>
    <x v="95"/>
    <n v="408"/>
    <x v="484"/>
  </r>
  <r>
    <s v="TXN-00744"/>
    <d v="2023-08-26T00:00:00"/>
    <x v="0"/>
    <s v="August"/>
    <x v="3"/>
    <s v="Islamabad"/>
    <x v="5"/>
    <s v="Personal Care"/>
    <x v="32"/>
    <n v="3"/>
    <n v="3000"/>
    <n v="9000"/>
    <x v="0"/>
    <n v="0"/>
    <x v="9"/>
  </r>
  <r>
    <s v="TXN-00745"/>
    <d v="2025-05-20T00:00:00"/>
    <x v="1"/>
    <s v="May"/>
    <x v="0"/>
    <s v="Hyderabad"/>
    <x v="7"/>
    <s v="Educational"/>
    <x v="45"/>
    <n v="1"/>
    <n v="550"/>
    <n v="550"/>
    <x v="149"/>
    <n v="73.150000000000006"/>
    <x v="485"/>
  </r>
  <r>
    <s v="TXN-00746"/>
    <d v="2023-07-26T00:00:00"/>
    <x v="0"/>
    <s v="July"/>
    <x v="3"/>
    <s v="Islamabad"/>
    <x v="1"/>
    <s v="Small Appliances"/>
    <x v="110"/>
    <n v="2"/>
    <n v="25000"/>
    <n v="50000"/>
    <x v="0"/>
    <n v="0"/>
    <x v="453"/>
  </r>
  <r>
    <s v="TXN-00747"/>
    <d v="2024-08-07T00:00:00"/>
    <x v="2"/>
    <s v="August"/>
    <x v="2"/>
    <s v="Lahore"/>
    <x v="1"/>
    <s v="Small Appliances"/>
    <x v="68"/>
    <n v="1"/>
    <n v="60500"/>
    <n v="60500"/>
    <x v="35"/>
    <n v="4416.5"/>
    <x v="486"/>
  </r>
  <r>
    <s v="TXN-00748"/>
    <d v="2024-09-03T00:00:00"/>
    <x v="2"/>
    <s v="September"/>
    <x v="3"/>
    <s v="Islamabad"/>
    <x v="3"/>
    <s v="Laundry"/>
    <x v="111"/>
    <n v="1"/>
    <n v="850"/>
    <n v="850"/>
    <x v="0"/>
    <n v="0"/>
    <x v="160"/>
  </r>
  <r>
    <s v="TXN-00749"/>
    <d v="2024-04-09T00:00:00"/>
    <x v="2"/>
    <s v="April"/>
    <x v="3"/>
    <s v="Islamabad"/>
    <x v="2"/>
    <s v="Vegetables"/>
    <x v="81"/>
    <n v="2"/>
    <n v="150"/>
    <n v="300"/>
    <x v="0"/>
    <n v="0"/>
    <x v="487"/>
  </r>
  <r>
    <s v="TXN-00750"/>
    <d v="2023-03-07T00:00:00"/>
    <x v="0"/>
    <s v="March"/>
    <x v="1"/>
    <s v="Karachi"/>
    <x v="4"/>
    <s v="Breads"/>
    <x v="104"/>
    <n v="8"/>
    <n v="1250"/>
    <n v="10000"/>
    <x v="114"/>
    <n v="960"/>
    <x v="488"/>
  </r>
  <r>
    <s v="TXN-00751"/>
    <d v="2023-09-10T00:00:00"/>
    <x v="0"/>
    <s v="September"/>
    <x v="1"/>
    <s v="Karachi"/>
    <x v="3"/>
    <s v="Home Essentials"/>
    <x v="102"/>
    <n v="1"/>
    <n v="2200"/>
    <n v="2200"/>
    <x v="150"/>
    <n v="112.19999999999999"/>
    <x v="489"/>
  </r>
  <r>
    <s v="TXN-00752"/>
    <d v="2024-07-03T00:00:00"/>
    <x v="2"/>
    <s v="July"/>
    <x v="1"/>
    <s v="Karachi"/>
    <x v="2"/>
    <s v="Dairy"/>
    <x v="37"/>
    <n v="1"/>
    <n v="700"/>
    <n v="700"/>
    <x v="0"/>
    <n v="0"/>
    <x v="478"/>
  </r>
  <r>
    <s v="TXN-00753"/>
    <d v="2023-02-22T00:00:00"/>
    <x v="0"/>
    <s v="February"/>
    <x v="3"/>
    <s v="Islamabad"/>
    <x v="6"/>
    <s v="Men's Wear"/>
    <x v="12"/>
    <n v="1"/>
    <n v="5500"/>
    <n v="5500"/>
    <x v="0"/>
    <n v="0"/>
    <x v="238"/>
  </r>
  <r>
    <s v="TXN-00754"/>
    <d v="2025-11-09T00:00:00"/>
    <x v="1"/>
    <s v="November"/>
    <x v="0"/>
    <s v="Hyderabad"/>
    <x v="0"/>
    <s v="Rice &amp; Grains"/>
    <x v="23"/>
    <n v="6"/>
    <n v="1100"/>
    <n v="6600"/>
    <x v="36"/>
    <n v="330"/>
    <x v="490"/>
  </r>
  <r>
    <s v="TXN-00755"/>
    <d v="2023-04-25T00:00:00"/>
    <x v="0"/>
    <s v="April"/>
    <x v="3"/>
    <s v="Islamabad"/>
    <x v="1"/>
    <s v="Gadgets"/>
    <x v="42"/>
    <n v="1"/>
    <n v="24500"/>
    <n v="24500"/>
    <x v="0"/>
    <n v="0"/>
    <x v="179"/>
  </r>
  <r>
    <s v="TXN-00756"/>
    <d v="2024-05-03T00:00:00"/>
    <x v="2"/>
    <s v="May"/>
    <x v="2"/>
    <s v="Lahore"/>
    <x v="0"/>
    <s v="Cooking Oil"/>
    <x v="80"/>
    <n v="3"/>
    <n v="450"/>
    <n v="1350"/>
    <x v="0"/>
    <n v="0"/>
    <x v="31"/>
  </r>
  <r>
    <s v="TXN-00757"/>
    <d v="2023-02-09T00:00:00"/>
    <x v="0"/>
    <s v="February"/>
    <x v="2"/>
    <s v="Lahore"/>
    <x v="7"/>
    <s v="Action Figures"/>
    <x v="29"/>
    <n v="1"/>
    <n v="3450"/>
    <n v="3450"/>
    <x v="0"/>
    <n v="0"/>
    <x v="217"/>
  </r>
  <r>
    <s v="TXN-00758"/>
    <d v="2025-12-01T00:00:00"/>
    <x v="1"/>
    <s v="December"/>
    <x v="1"/>
    <s v="Karachi"/>
    <x v="6"/>
    <s v="Women's Wear"/>
    <x v="38"/>
    <n v="2"/>
    <n v="3900"/>
    <n v="7800"/>
    <x v="62"/>
    <n v="421.2"/>
    <x v="491"/>
  </r>
  <r>
    <s v="TXN-00759"/>
    <d v="2023-08-12T00:00:00"/>
    <x v="0"/>
    <s v="August"/>
    <x v="1"/>
    <s v="Karachi"/>
    <x v="4"/>
    <s v="Cakes &amp; Pastries"/>
    <x v="87"/>
    <n v="8"/>
    <n v="600"/>
    <n v="4800"/>
    <x v="0"/>
    <n v="0"/>
    <x v="37"/>
  </r>
  <r>
    <s v="TXN-00760"/>
    <d v="2025-01-17T00:00:00"/>
    <x v="1"/>
    <s v="January"/>
    <x v="1"/>
    <s v="Karachi"/>
    <x v="5"/>
    <s v="Fragrances"/>
    <x v="84"/>
    <n v="3"/>
    <n v="1250"/>
    <n v="3750"/>
    <x v="103"/>
    <n v="48.75"/>
    <x v="492"/>
  </r>
  <r>
    <s v="TXN-00761"/>
    <d v="2023-10-21T00:00:00"/>
    <x v="0"/>
    <s v="October"/>
    <x v="2"/>
    <s v="Lahore"/>
    <x v="6"/>
    <s v="Footwear"/>
    <x v="114"/>
    <n v="1"/>
    <n v="5000"/>
    <n v="5000"/>
    <x v="0"/>
    <n v="0"/>
    <x v="55"/>
  </r>
  <r>
    <s v="TXN-00762"/>
    <d v="2023-06-21T00:00:00"/>
    <x v="0"/>
    <s v="June"/>
    <x v="2"/>
    <s v="Lahore"/>
    <x v="6"/>
    <s v="Women's Wear"/>
    <x v="7"/>
    <n v="1"/>
    <n v="1050"/>
    <n v="1050"/>
    <x v="151"/>
    <n v="192.15"/>
    <x v="493"/>
  </r>
  <r>
    <s v="TXN-00763"/>
    <d v="2024-04-20T00:00:00"/>
    <x v="2"/>
    <s v="April"/>
    <x v="0"/>
    <s v="Hyderabad"/>
    <x v="3"/>
    <s v="Home Essentials"/>
    <x v="18"/>
    <n v="2"/>
    <n v="430"/>
    <n v="860"/>
    <x v="16"/>
    <n v="14.620000000000001"/>
    <x v="494"/>
  </r>
  <r>
    <s v="TXN-00764"/>
    <d v="2024-05-06T00:00:00"/>
    <x v="2"/>
    <s v="May"/>
    <x v="3"/>
    <s v="Islamabad"/>
    <x v="4"/>
    <s v="Cookies"/>
    <x v="53"/>
    <n v="10"/>
    <n v="1400"/>
    <n v="14000"/>
    <x v="0"/>
    <n v="0"/>
    <x v="39"/>
  </r>
  <r>
    <s v="TXN-00765"/>
    <d v="2023-04-22T00:00:00"/>
    <x v="0"/>
    <s v="April"/>
    <x v="3"/>
    <s v="Islamabad"/>
    <x v="2"/>
    <s v="Dairy"/>
    <x v="14"/>
    <n v="1"/>
    <n v="1000"/>
    <n v="1000"/>
    <x v="0"/>
    <n v="0"/>
    <x v="230"/>
  </r>
  <r>
    <s v="TXN-00766"/>
    <d v="2025-08-12T00:00:00"/>
    <x v="1"/>
    <s v="August"/>
    <x v="0"/>
    <s v="Hyderabad"/>
    <x v="4"/>
    <s v="Breads"/>
    <x v="8"/>
    <n v="5"/>
    <n v="1450"/>
    <n v="7250"/>
    <x v="129"/>
    <n v="717.75"/>
    <x v="495"/>
  </r>
  <r>
    <s v="TXN-00767"/>
    <d v="2024-03-29T00:00:00"/>
    <x v="2"/>
    <s v="March"/>
    <x v="3"/>
    <s v="Islamabad"/>
    <x v="6"/>
    <s v="Footwear"/>
    <x v="114"/>
    <n v="1"/>
    <n v="6500"/>
    <n v="6500"/>
    <x v="0"/>
    <n v="0"/>
    <x v="496"/>
  </r>
  <r>
    <s v="TXN-00768"/>
    <d v="2024-10-14T00:00:00"/>
    <x v="2"/>
    <s v="October"/>
    <x v="2"/>
    <s v="Lahore"/>
    <x v="2"/>
    <s v="Dairy"/>
    <x v="14"/>
    <n v="1"/>
    <n v="800"/>
    <n v="800"/>
    <x v="0"/>
    <n v="0"/>
    <x v="109"/>
  </r>
  <r>
    <s v="TXN-00769"/>
    <d v="2025-10-23T00:00:00"/>
    <x v="1"/>
    <s v="October"/>
    <x v="2"/>
    <s v="Lahore"/>
    <x v="0"/>
    <s v="Lentils &amp; Beans"/>
    <x v="33"/>
    <n v="1"/>
    <n v="1700"/>
    <n v="1700"/>
    <x v="0"/>
    <n v="0"/>
    <x v="83"/>
  </r>
  <r>
    <s v="TXN-00770"/>
    <d v="2023-10-30T00:00:00"/>
    <x v="0"/>
    <s v="October"/>
    <x v="3"/>
    <s v="Islamabad"/>
    <x v="7"/>
    <s v="Plush Toys"/>
    <x v="58"/>
    <n v="3"/>
    <n v="350"/>
    <n v="1050"/>
    <x v="0"/>
    <n v="0"/>
    <x v="130"/>
  </r>
  <r>
    <s v="TXN-00771"/>
    <d v="2023-08-23T00:00:00"/>
    <x v="0"/>
    <s v="August"/>
    <x v="2"/>
    <s v="Lahore"/>
    <x v="6"/>
    <s v="Kids Wear"/>
    <x v="41"/>
    <n v="1"/>
    <n v="900"/>
    <n v="900"/>
    <x v="142"/>
    <n v="53.099999999999994"/>
    <x v="497"/>
  </r>
  <r>
    <s v="TXN-00772"/>
    <d v="2025-12-15T00:00:00"/>
    <x v="1"/>
    <s v="December"/>
    <x v="0"/>
    <s v="Hyderabad"/>
    <x v="1"/>
    <s v="Audio &amp; Accessories"/>
    <x v="24"/>
    <n v="1"/>
    <n v="27000"/>
    <n v="27000"/>
    <x v="0"/>
    <n v="0"/>
    <x v="498"/>
  </r>
  <r>
    <s v="TXN-00773"/>
    <d v="2023-06-26T00:00:00"/>
    <x v="0"/>
    <s v="June"/>
    <x v="0"/>
    <s v="Hyderabad"/>
    <x v="1"/>
    <s v="Small Appliances"/>
    <x v="21"/>
    <n v="1"/>
    <n v="21500"/>
    <n v="21500"/>
    <x v="7"/>
    <n v="2730.5"/>
    <x v="499"/>
  </r>
  <r>
    <s v="TXN-00774"/>
    <d v="2023-04-27T00:00:00"/>
    <x v="0"/>
    <s v="April"/>
    <x v="0"/>
    <s v="Hyderabad"/>
    <x v="2"/>
    <s v="Fruits"/>
    <x v="78"/>
    <n v="8"/>
    <n v="1100"/>
    <n v="8800"/>
    <x v="152"/>
    <n v="8.8000000000000007"/>
    <x v="500"/>
  </r>
  <r>
    <s v="TXN-00775"/>
    <d v="2023-10-23T00:00:00"/>
    <x v="0"/>
    <s v="October"/>
    <x v="1"/>
    <s v="Karachi"/>
    <x v="7"/>
    <s v="Board Games"/>
    <x v="61"/>
    <n v="1"/>
    <n v="2450"/>
    <n v="2450"/>
    <x v="0"/>
    <n v="0"/>
    <x v="380"/>
  </r>
  <r>
    <s v="TXN-00776"/>
    <d v="2024-04-09T00:00:00"/>
    <x v="2"/>
    <s v="April"/>
    <x v="1"/>
    <s v="Karachi"/>
    <x v="2"/>
    <s v="Fruits"/>
    <x v="123"/>
    <n v="2"/>
    <n v="900"/>
    <n v="1800"/>
    <x v="37"/>
    <n v="16.2"/>
    <x v="501"/>
  </r>
  <r>
    <s v="TXN-00777"/>
    <d v="2025-05-15T00:00:00"/>
    <x v="1"/>
    <s v="May"/>
    <x v="0"/>
    <s v="Hyderabad"/>
    <x v="7"/>
    <s v="Plush Toys"/>
    <x v="9"/>
    <n v="1"/>
    <n v="1350"/>
    <n v="1350"/>
    <x v="0"/>
    <n v="0"/>
    <x v="31"/>
  </r>
  <r>
    <s v="TXN-00778"/>
    <d v="2024-09-18T00:00:00"/>
    <x v="2"/>
    <s v="September"/>
    <x v="3"/>
    <s v="Islamabad"/>
    <x v="4"/>
    <s v="Cakes &amp; Pastries"/>
    <x v="70"/>
    <n v="6"/>
    <n v="450"/>
    <n v="2700"/>
    <x v="0"/>
    <n v="0"/>
    <x v="152"/>
  </r>
  <r>
    <s v="TXN-00779"/>
    <d v="2023-12-09T00:00:00"/>
    <x v="0"/>
    <s v="December"/>
    <x v="3"/>
    <s v="Islamabad"/>
    <x v="7"/>
    <s v="Plush Toys"/>
    <x v="58"/>
    <n v="1"/>
    <n v="2550"/>
    <n v="2550"/>
    <x v="153"/>
    <n v="747.15"/>
    <x v="502"/>
  </r>
  <r>
    <s v="TXN-00780"/>
    <d v="2025-04-10T00:00:00"/>
    <x v="1"/>
    <s v="April"/>
    <x v="0"/>
    <s v="Hyderabad"/>
    <x v="2"/>
    <s v="Dairy"/>
    <x v="46"/>
    <n v="1"/>
    <n v="850"/>
    <n v="850"/>
    <x v="0"/>
    <n v="0"/>
    <x v="160"/>
  </r>
  <r>
    <s v="TXN-00781"/>
    <d v="2025-03-11T00:00:00"/>
    <x v="1"/>
    <s v="March"/>
    <x v="0"/>
    <s v="Hyderabad"/>
    <x v="2"/>
    <s v="Fruits"/>
    <x v="28"/>
    <n v="2"/>
    <n v="750"/>
    <n v="1500"/>
    <x v="80"/>
    <n v="53.999999999999993"/>
    <x v="503"/>
  </r>
  <r>
    <s v="TXN-00782"/>
    <d v="2023-01-06T00:00:00"/>
    <x v="0"/>
    <s v="January"/>
    <x v="1"/>
    <s v="Karachi"/>
    <x v="6"/>
    <s v="Footwear"/>
    <x v="57"/>
    <n v="1"/>
    <n v="4150"/>
    <n v="4150"/>
    <x v="0"/>
    <n v="0"/>
    <x v="433"/>
  </r>
  <r>
    <s v="TXN-00783"/>
    <d v="2024-08-24T00:00:00"/>
    <x v="2"/>
    <s v="August"/>
    <x v="3"/>
    <s v="Islamabad"/>
    <x v="0"/>
    <s v="Beverages"/>
    <x v="0"/>
    <n v="3"/>
    <n v="1700"/>
    <n v="5100"/>
    <x v="99"/>
    <n v="326.40000000000003"/>
    <x v="504"/>
  </r>
  <r>
    <s v="TXN-00784"/>
    <d v="2024-12-17T00:00:00"/>
    <x v="2"/>
    <s v="December"/>
    <x v="1"/>
    <s v="Karachi"/>
    <x v="4"/>
    <s v="Breads"/>
    <x v="104"/>
    <n v="4"/>
    <n v="800"/>
    <n v="3200"/>
    <x v="0"/>
    <n v="0"/>
    <x v="291"/>
  </r>
  <r>
    <s v="TXN-00785"/>
    <d v="2025-07-28T00:00:00"/>
    <x v="1"/>
    <s v="July"/>
    <x v="1"/>
    <s v="Karachi"/>
    <x v="5"/>
    <s v="Skincare"/>
    <x v="79"/>
    <n v="1"/>
    <n v="1150"/>
    <n v="1150"/>
    <x v="0"/>
    <n v="0"/>
    <x v="316"/>
  </r>
  <r>
    <s v="TXN-00786"/>
    <d v="2024-06-28T00:00:00"/>
    <x v="2"/>
    <s v="June"/>
    <x v="2"/>
    <s v="Lahore"/>
    <x v="0"/>
    <s v="Lentils &amp; Beans"/>
    <x v="33"/>
    <n v="1"/>
    <n v="2350"/>
    <n v="2350"/>
    <x v="62"/>
    <n v="126.89999999999999"/>
    <x v="505"/>
  </r>
  <r>
    <s v="TXN-00787"/>
    <d v="2024-05-14T00:00:00"/>
    <x v="2"/>
    <s v="May"/>
    <x v="1"/>
    <s v="Karachi"/>
    <x v="4"/>
    <s v="Cakes &amp; Pastries"/>
    <x v="65"/>
    <n v="1"/>
    <n v="1150"/>
    <n v="1150"/>
    <x v="129"/>
    <n v="113.85000000000001"/>
    <x v="506"/>
  </r>
  <r>
    <s v="TXN-00788"/>
    <d v="2023-07-15T00:00:00"/>
    <x v="0"/>
    <s v="July"/>
    <x v="0"/>
    <s v="Hyderabad"/>
    <x v="0"/>
    <s v="Packaged Foods"/>
    <x v="10"/>
    <n v="3"/>
    <n v="1050"/>
    <n v="3150"/>
    <x v="116"/>
    <n v="103.95"/>
    <x v="507"/>
  </r>
  <r>
    <s v="TXN-00789"/>
    <d v="2023-09-01T00:00:00"/>
    <x v="0"/>
    <s v="September"/>
    <x v="0"/>
    <s v="Hyderabad"/>
    <x v="5"/>
    <s v="Personal Care"/>
    <x v="32"/>
    <n v="1"/>
    <n v="700"/>
    <n v="700"/>
    <x v="29"/>
    <n v="76.3"/>
    <x v="508"/>
  </r>
  <r>
    <s v="TXN-00790"/>
    <d v="2024-11-23T00:00:00"/>
    <x v="2"/>
    <s v="November"/>
    <x v="0"/>
    <s v="Hyderabad"/>
    <x v="5"/>
    <s v="Personal Care"/>
    <x v="96"/>
    <n v="1"/>
    <n v="1750"/>
    <n v="1750"/>
    <x v="55"/>
    <n v="162.75"/>
    <x v="509"/>
  </r>
  <r>
    <s v="TXN-00791"/>
    <d v="2025-02-07T00:00:00"/>
    <x v="1"/>
    <s v="February"/>
    <x v="0"/>
    <s v="Hyderabad"/>
    <x v="1"/>
    <s v="Small Appliances"/>
    <x v="110"/>
    <n v="1"/>
    <n v="8500"/>
    <n v="8500"/>
    <x v="0"/>
    <n v="0"/>
    <x v="67"/>
  </r>
  <r>
    <s v="TXN-00792"/>
    <d v="2023-02-05T00:00:00"/>
    <x v="0"/>
    <s v="February"/>
    <x v="3"/>
    <s v="Islamabad"/>
    <x v="3"/>
    <s v="Laundry"/>
    <x v="116"/>
    <n v="1"/>
    <n v="1600"/>
    <n v="1600"/>
    <x v="82"/>
    <n v="28.799999999999997"/>
    <x v="510"/>
  </r>
  <r>
    <s v="TXN-00793"/>
    <d v="2023-11-29T00:00:00"/>
    <x v="0"/>
    <s v="November"/>
    <x v="3"/>
    <s v="Islamabad"/>
    <x v="6"/>
    <s v="Footwear"/>
    <x v="106"/>
    <n v="1"/>
    <n v="1600"/>
    <n v="1600"/>
    <x v="0"/>
    <n v="0"/>
    <x v="469"/>
  </r>
  <r>
    <s v="TXN-00794"/>
    <d v="2023-08-11T00:00:00"/>
    <x v="0"/>
    <s v="August"/>
    <x v="0"/>
    <s v="Hyderabad"/>
    <x v="0"/>
    <s v="Rice &amp; Grains"/>
    <x v="23"/>
    <n v="1"/>
    <n v="420"/>
    <n v="420"/>
    <x v="0"/>
    <n v="0"/>
    <x v="215"/>
  </r>
  <r>
    <s v="TXN-00795"/>
    <d v="2023-07-18T00:00:00"/>
    <x v="0"/>
    <s v="July"/>
    <x v="1"/>
    <s v="Karachi"/>
    <x v="7"/>
    <s v="Board Games"/>
    <x v="31"/>
    <n v="2"/>
    <n v="2350"/>
    <n v="4700"/>
    <x v="127"/>
    <n v="1038.7"/>
    <x v="511"/>
  </r>
  <r>
    <s v="TXN-00796"/>
    <d v="2024-09-11T00:00:00"/>
    <x v="2"/>
    <s v="September"/>
    <x v="3"/>
    <s v="Islamabad"/>
    <x v="0"/>
    <s v="Spices"/>
    <x v="83"/>
    <n v="6"/>
    <n v="850"/>
    <n v="5100"/>
    <x v="154"/>
    <n v="306"/>
    <x v="512"/>
  </r>
  <r>
    <s v="TXN-00797"/>
    <d v="2024-07-18T00:00:00"/>
    <x v="2"/>
    <s v="July"/>
    <x v="1"/>
    <s v="Karachi"/>
    <x v="3"/>
    <s v="Kitchenware"/>
    <x v="5"/>
    <n v="1"/>
    <n v="2950"/>
    <n v="2950"/>
    <x v="13"/>
    <n v="88.5"/>
    <x v="513"/>
  </r>
  <r>
    <s v="TXN-00798"/>
    <d v="2023-06-26T00:00:00"/>
    <x v="0"/>
    <s v="June"/>
    <x v="1"/>
    <s v="Karachi"/>
    <x v="5"/>
    <s v="Skincare"/>
    <x v="79"/>
    <n v="4"/>
    <n v="2900"/>
    <n v="11600"/>
    <x v="0"/>
    <n v="0"/>
    <x v="514"/>
  </r>
  <r>
    <s v="TXN-00799"/>
    <d v="2025-11-04T00:00:00"/>
    <x v="1"/>
    <s v="November"/>
    <x v="3"/>
    <s v="Islamabad"/>
    <x v="0"/>
    <s v="Lentils &amp; Beans"/>
    <x v="40"/>
    <n v="6"/>
    <n v="300"/>
    <n v="1800"/>
    <x v="0"/>
    <n v="0"/>
    <x v="124"/>
  </r>
  <r>
    <s v="TXN-00800"/>
    <d v="2025-06-01T00:00:00"/>
    <x v="1"/>
    <s v="June"/>
    <x v="0"/>
    <s v="Hyderabad"/>
    <x v="2"/>
    <s v="Fruits"/>
    <x v="52"/>
    <n v="2"/>
    <n v="800"/>
    <n v="1600"/>
    <x v="0"/>
    <n v="0"/>
    <x v="469"/>
  </r>
  <r>
    <s v="TXN-00801"/>
    <d v="2023-09-15T00:00:00"/>
    <x v="0"/>
    <s v="September"/>
    <x v="1"/>
    <s v="Karachi"/>
    <x v="2"/>
    <s v="Fruits"/>
    <x v="28"/>
    <n v="4"/>
    <n v="750"/>
    <n v="3000"/>
    <x v="82"/>
    <n v="53.999999999999993"/>
    <x v="515"/>
  </r>
  <r>
    <s v="TXN-00802"/>
    <d v="2024-02-25T00:00:00"/>
    <x v="2"/>
    <s v="February"/>
    <x v="2"/>
    <s v="Lahore"/>
    <x v="5"/>
    <s v="Skincare"/>
    <x v="6"/>
    <n v="2"/>
    <n v="3250"/>
    <n v="6500"/>
    <x v="155"/>
    <n v="806"/>
    <x v="516"/>
  </r>
  <r>
    <s v="TXN-00803"/>
    <d v="2025-11-01T00:00:00"/>
    <x v="1"/>
    <s v="November"/>
    <x v="1"/>
    <s v="Karachi"/>
    <x v="7"/>
    <s v="Plush Toys"/>
    <x v="58"/>
    <n v="1"/>
    <n v="600"/>
    <n v="600"/>
    <x v="156"/>
    <n v="112.2"/>
    <x v="517"/>
  </r>
  <r>
    <s v="TXN-00804"/>
    <d v="2024-03-26T00:00:00"/>
    <x v="2"/>
    <s v="March"/>
    <x v="3"/>
    <s v="Islamabad"/>
    <x v="1"/>
    <s v="Audio &amp; Accessories"/>
    <x v="24"/>
    <n v="2"/>
    <n v="14000"/>
    <n v="28000"/>
    <x v="0"/>
    <n v="0"/>
    <x v="518"/>
  </r>
  <r>
    <s v="TXN-00805"/>
    <d v="2024-05-12T00:00:00"/>
    <x v="2"/>
    <s v="May"/>
    <x v="2"/>
    <s v="Lahore"/>
    <x v="1"/>
    <s v="Small Appliances"/>
    <x v="68"/>
    <n v="1"/>
    <n v="64500"/>
    <n v="64500"/>
    <x v="0"/>
    <n v="0"/>
    <x v="519"/>
  </r>
  <r>
    <s v="TXN-00806"/>
    <d v="2024-11-26T00:00:00"/>
    <x v="2"/>
    <s v="November"/>
    <x v="3"/>
    <s v="Islamabad"/>
    <x v="2"/>
    <s v="Dairy"/>
    <x v="51"/>
    <n v="10"/>
    <n v="400"/>
    <n v="4000"/>
    <x v="0"/>
    <n v="0"/>
    <x v="133"/>
  </r>
  <r>
    <s v="TXN-00807"/>
    <d v="2024-12-18T00:00:00"/>
    <x v="2"/>
    <s v="December"/>
    <x v="3"/>
    <s v="Islamabad"/>
    <x v="5"/>
    <s v="Makeup"/>
    <x v="100"/>
    <n v="4"/>
    <n v="700"/>
    <n v="2800"/>
    <x v="62"/>
    <n v="151.19999999999999"/>
    <x v="520"/>
  </r>
  <r>
    <s v="TXN-00808"/>
    <d v="2025-01-01T00:00:00"/>
    <x v="1"/>
    <s v="January"/>
    <x v="3"/>
    <s v="Islamabad"/>
    <x v="7"/>
    <s v="Plush Toys"/>
    <x v="58"/>
    <n v="3"/>
    <n v="1800"/>
    <n v="5400"/>
    <x v="126"/>
    <n v="637.19999999999993"/>
    <x v="521"/>
  </r>
  <r>
    <s v="TXN-00809"/>
    <d v="2025-04-25T00:00:00"/>
    <x v="1"/>
    <s v="April"/>
    <x v="1"/>
    <s v="Karachi"/>
    <x v="6"/>
    <s v="Men's Wear"/>
    <x v="35"/>
    <n v="1"/>
    <n v="1250"/>
    <n v="1250"/>
    <x v="0"/>
    <n v="0"/>
    <x v="214"/>
  </r>
  <r>
    <s v="TXN-00810"/>
    <d v="2024-03-14T00:00:00"/>
    <x v="2"/>
    <s v="March"/>
    <x v="1"/>
    <s v="Karachi"/>
    <x v="1"/>
    <s v="Small Appliances"/>
    <x v="21"/>
    <n v="1"/>
    <n v="11500"/>
    <n v="11500"/>
    <x v="146"/>
    <n v="966.00000000000011"/>
    <x v="522"/>
  </r>
  <r>
    <s v="TXN-00811"/>
    <d v="2024-08-19T00:00:00"/>
    <x v="2"/>
    <s v="August"/>
    <x v="3"/>
    <s v="Islamabad"/>
    <x v="4"/>
    <s v="Cakes &amp; Pastries"/>
    <x v="95"/>
    <n v="1"/>
    <n v="450"/>
    <n v="450"/>
    <x v="0"/>
    <n v="0"/>
    <x v="523"/>
  </r>
  <r>
    <s v="TXN-00812"/>
    <d v="2025-02-16T00:00:00"/>
    <x v="1"/>
    <s v="February"/>
    <x v="0"/>
    <s v="Hyderabad"/>
    <x v="7"/>
    <s v="Board Games"/>
    <x v="61"/>
    <n v="1"/>
    <n v="1750"/>
    <n v="1750"/>
    <x v="157"/>
    <n v="306.25"/>
    <x v="524"/>
  </r>
  <r>
    <s v="TXN-00813"/>
    <d v="2023-04-01T00:00:00"/>
    <x v="0"/>
    <s v="April"/>
    <x v="1"/>
    <s v="Karachi"/>
    <x v="0"/>
    <s v="Rice &amp; Grains"/>
    <x v="23"/>
    <n v="2"/>
    <n v="2450"/>
    <n v="4900"/>
    <x v="30"/>
    <n v="235.20000000000002"/>
    <x v="525"/>
  </r>
  <r>
    <s v="TXN-00814"/>
    <d v="2024-07-31T00:00:00"/>
    <x v="2"/>
    <s v="July"/>
    <x v="1"/>
    <s v="Karachi"/>
    <x v="3"/>
    <s v="Laundry"/>
    <x v="17"/>
    <n v="1"/>
    <n v="1500"/>
    <n v="1500"/>
    <x v="0"/>
    <n v="0"/>
    <x v="75"/>
  </r>
  <r>
    <s v="TXN-00815"/>
    <d v="2023-02-11T00:00:00"/>
    <x v="0"/>
    <s v="February"/>
    <x v="3"/>
    <s v="Islamabad"/>
    <x v="2"/>
    <s v="Vegetables"/>
    <x v="76"/>
    <n v="8"/>
    <n v="800"/>
    <n v="6400"/>
    <x v="40"/>
    <n v="147.19999999999999"/>
    <x v="526"/>
  </r>
  <r>
    <s v="TXN-00816"/>
    <d v="2024-09-30T00:00:00"/>
    <x v="2"/>
    <s v="September"/>
    <x v="1"/>
    <s v="Karachi"/>
    <x v="7"/>
    <s v="Educational"/>
    <x v="129"/>
    <n v="1"/>
    <n v="1350"/>
    <n v="1350"/>
    <x v="158"/>
    <n v="263.25"/>
    <x v="527"/>
  </r>
  <r>
    <s v="TXN-00817"/>
    <d v="2024-11-30T00:00:00"/>
    <x v="2"/>
    <s v="November"/>
    <x v="3"/>
    <s v="Islamabad"/>
    <x v="1"/>
    <s v="Gadgets"/>
    <x v="25"/>
    <n v="1"/>
    <n v="45000"/>
    <n v="45000"/>
    <x v="0"/>
    <n v="0"/>
    <x v="454"/>
  </r>
  <r>
    <s v="TXN-00818"/>
    <d v="2025-08-17T00:00:00"/>
    <x v="1"/>
    <s v="August"/>
    <x v="3"/>
    <s v="Islamabad"/>
    <x v="4"/>
    <s v="Cakes &amp; Pastries"/>
    <x v="87"/>
    <n v="12"/>
    <n v="1100"/>
    <n v="13200"/>
    <x v="0"/>
    <n v="0"/>
    <x v="528"/>
  </r>
  <r>
    <s v="TXN-00819"/>
    <d v="2023-08-24T00:00:00"/>
    <x v="0"/>
    <s v="August"/>
    <x v="2"/>
    <s v="Lahore"/>
    <x v="7"/>
    <s v="Action Figures"/>
    <x v="75"/>
    <n v="2"/>
    <n v="4300"/>
    <n v="8600"/>
    <x v="155"/>
    <n v="1066.4000000000001"/>
    <x v="529"/>
  </r>
  <r>
    <s v="TXN-00820"/>
    <d v="2024-07-01T00:00:00"/>
    <x v="2"/>
    <s v="July"/>
    <x v="1"/>
    <s v="Karachi"/>
    <x v="2"/>
    <s v="Vegetables"/>
    <x v="76"/>
    <n v="3"/>
    <n v="200"/>
    <n v="600"/>
    <x v="0"/>
    <n v="0"/>
    <x v="140"/>
  </r>
  <r>
    <s v="TXN-00821"/>
    <d v="2023-06-07T00:00:00"/>
    <x v="0"/>
    <s v="June"/>
    <x v="3"/>
    <s v="Islamabad"/>
    <x v="0"/>
    <s v="Packaged Foods"/>
    <x v="112"/>
    <n v="1"/>
    <n v="290"/>
    <n v="290"/>
    <x v="0"/>
    <n v="0"/>
    <x v="137"/>
  </r>
  <r>
    <s v="TXN-00822"/>
    <d v="2025-10-21T00:00:00"/>
    <x v="1"/>
    <s v="October"/>
    <x v="0"/>
    <s v="Hyderabad"/>
    <x v="2"/>
    <s v="Meat &amp; Poultry"/>
    <x v="15"/>
    <n v="3"/>
    <n v="470"/>
    <n v="1410"/>
    <x v="0"/>
    <n v="0"/>
    <x v="530"/>
  </r>
  <r>
    <s v="TXN-00823"/>
    <d v="2025-05-05T00:00:00"/>
    <x v="1"/>
    <s v="May"/>
    <x v="2"/>
    <s v="Lahore"/>
    <x v="2"/>
    <s v="Vegetables"/>
    <x v="81"/>
    <n v="5"/>
    <n v="150"/>
    <n v="750"/>
    <x v="111"/>
    <n v="14.25"/>
    <x v="531"/>
  </r>
  <r>
    <s v="TXN-00824"/>
    <d v="2023-01-21T00:00:00"/>
    <x v="0"/>
    <s v="January"/>
    <x v="1"/>
    <s v="Karachi"/>
    <x v="7"/>
    <s v="Action Figures"/>
    <x v="29"/>
    <n v="1"/>
    <n v="3500"/>
    <n v="3500"/>
    <x v="79"/>
    <n v="752.5"/>
    <x v="532"/>
  </r>
  <r>
    <s v="TXN-00825"/>
    <d v="2023-01-31T00:00:00"/>
    <x v="0"/>
    <s v="January"/>
    <x v="1"/>
    <s v="Karachi"/>
    <x v="0"/>
    <s v="Cooking Oil"/>
    <x v="80"/>
    <n v="3"/>
    <n v="1150"/>
    <n v="3450"/>
    <x v="20"/>
    <n v="55.2"/>
    <x v="533"/>
  </r>
  <r>
    <s v="TXN-00826"/>
    <d v="2023-04-02T00:00:00"/>
    <x v="0"/>
    <s v="April"/>
    <x v="0"/>
    <s v="Hyderabad"/>
    <x v="2"/>
    <s v="Vegetables"/>
    <x v="81"/>
    <n v="2"/>
    <n v="950"/>
    <n v="1900"/>
    <x v="148"/>
    <n v="60.800000000000004"/>
    <x v="534"/>
  </r>
  <r>
    <s v="TXN-00827"/>
    <d v="2025-12-29T00:00:00"/>
    <x v="1"/>
    <s v="December"/>
    <x v="3"/>
    <s v="Islamabad"/>
    <x v="5"/>
    <s v="Makeup"/>
    <x v="117"/>
    <n v="1"/>
    <n v="2200"/>
    <n v="2200"/>
    <x v="0"/>
    <n v="0"/>
    <x v="54"/>
  </r>
  <r>
    <s v="TXN-00828"/>
    <d v="2024-03-27T00:00:00"/>
    <x v="2"/>
    <s v="March"/>
    <x v="3"/>
    <s v="Islamabad"/>
    <x v="6"/>
    <s v="Men's Wear"/>
    <x v="12"/>
    <n v="1"/>
    <n v="5500"/>
    <n v="5500"/>
    <x v="39"/>
    <n v="748"/>
    <x v="535"/>
  </r>
  <r>
    <s v="TXN-00829"/>
    <d v="2024-04-22T00:00:00"/>
    <x v="2"/>
    <s v="April"/>
    <x v="1"/>
    <s v="Karachi"/>
    <x v="0"/>
    <s v="Beverages"/>
    <x v="74"/>
    <n v="5"/>
    <n v="1750"/>
    <n v="8750"/>
    <x v="0"/>
    <n v="0"/>
    <x v="536"/>
  </r>
  <r>
    <s v="TXN-00830"/>
    <d v="2024-08-01T00:00:00"/>
    <x v="2"/>
    <s v="August"/>
    <x v="2"/>
    <s v="Lahore"/>
    <x v="0"/>
    <s v="Spices"/>
    <x v="109"/>
    <n v="10"/>
    <n v="2100"/>
    <n v="21000"/>
    <x v="27"/>
    <n v="504"/>
    <x v="537"/>
  </r>
  <r>
    <s v="TXN-00831"/>
    <d v="2024-04-19T00:00:00"/>
    <x v="2"/>
    <s v="April"/>
    <x v="0"/>
    <s v="Hyderabad"/>
    <x v="5"/>
    <s v="Personal Care"/>
    <x v="72"/>
    <n v="1"/>
    <n v="1750"/>
    <n v="1750"/>
    <x v="0"/>
    <n v="0"/>
    <x v="538"/>
  </r>
  <r>
    <s v="TXN-00832"/>
    <d v="2025-06-17T00:00:00"/>
    <x v="1"/>
    <s v="June"/>
    <x v="3"/>
    <s v="Islamabad"/>
    <x v="0"/>
    <s v="Packaged Foods"/>
    <x v="10"/>
    <n v="3"/>
    <n v="210"/>
    <n v="630"/>
    <x v="118"/>
    <n v="22.05"/>
    <x v="539"/>
  </r>
  <r>
    <s v="TXN-00833"/>
    <d v="2024-03-28T00:00:00"/>
    <x v="2"/>
    <s v="March"/>
    <x v="2"/>
    <s v="Lahore"/>
    <x v="7"/>
    <s v="Educational"/>
    <x v="113"/>
    <n v="3"/>
    <n v="2350"/>
    <n v="7050"/>
    <x v="67"/>
    <n v="1029.3"/>
    <x v="540"/>
  </r>
  <r>
    <s v="TXN-00834"/>
    <d v="2024-01-26T00:00:00"/>
    <x v="2"/>
    <s v="January"/>
    <x v="2"/>
    <s v="Lahore"/>
    <x v="2"/>
    <s v="Fruits"/>
    <x v="28"/>
    <n v="1"/>
    <n v="90"/>
    <n v="90"/>
    <x v="0"/>
    <n v="0"/>
    <x v="541"/>
  </r>
  <r>
    <s v="TXN-00835"/>
    <d v="2025-05-15T00:00:00"/>
    <x v="1"/>
    <s v="May"/>
    <x v="1"/>
    <s v="Karachi"/>
    <x v="7"/>
    <s v="Educational"/>
    <x v="113"/>
    <n v="1"/>
    <n v="1250"/>
    <n v="1250"/>
    <x v="0"/>
    <n v="0"/>
    <x v="214"/>
  </r>
  <r>
    <s v="TXN-00836"/>
    <d v="2025-09-01T00:00:00"/>
    <x v="1"/>
    <s v="September"/>
    <x v="2"/>
    <s v="Lahore"/>
    <x v="2"/>
    <s v="Dairy"/>
    <x v="51"/>
    <n v="1"/>
    <n v="1150"/>
    <n v="1150"/>
    <x v="48"/>
    <n v="31.05"/>
    <x v="479"/>
  </r>
  <r>
    <s v="TXN-00837"/>
    <d v="2023-08-27T00:00:00"/>
    <x v="0"/>
    <s v="August"/>
    <x v="0"/>
    <s v="Hyderabad"/>
    <x v="6"/>
    <s v="Footwear"/>
    <x v="57"/>
    <n v="1"/>
    <n v="2400"/>
    <n v="2400"/>
    <x v="145"/>
    <n v="158.4"/>
    <x v="542"/>
  </r>
  <r>
    <s v="TXN-00838"/>
    <d v="2023-05-05T00:00:00"/>
    <x v="0"/>
    <s v="May"/>
    <x v="3"/>
    <s v="Islamabad"/>
    <x v="3"/>
    <s v="Kitchenware"/>
    <x v="137"/>
    <n v="1"/>
    <n v="2650"/>
    <n v="2650"/>
    <x v="159"/>
    <n v="267.65000000000003"/>
    <x v="543"/>
  </r>
  <r>
    <s v="TXN-00839"/>
    <d v="2024-08-24T00:00:00"/>
    <x v="2"/>
    <s v="August"/>
    <x v="1"/>
    <s v="Karachi"/>
    <x v="1"/>
    <s v="Gadgets"/>
    <x v="42"/>
    <n v="1"/>
    <n v="27500"/>
    <n v="27500"/>
    <x v="9"/>
    <n v="3135"/>
    <x v="544"/>
  </r>
  <r>
    <s v="TXN-00840"/>
    <d v="2024-12-24T00:00:00"/>
    <x v="2"/>
    <s v="December"/>
    <x v="3"/>
    <s v="Islamabad"/>
    <x v="5"/>
    <s v="Makeup"/>
    <x v="100"/>
    <n v="1"/>
    <n v="3050"/>
    <n v="3050"/>
    <x v="0"/>
    <n v="0"/>
    <x v="545"/>
  </r>
  <r>
    <s v="TXN-00841"/>
    <d v="2025-12-22T00:00:00"/>
    <x v="1"/>
    <s v="December"/>
    <x v="0"/>
    <s v="Hyderabad"/>
    <x v="7"/>
    <s v="Board Games"/>
    <x v="61"/>
    <n v="1"/>
    <n v="850"/>
    <n v="850"/>
    <x v="0"/>
    <n v="0"/>
    <x v="160"/>
  </r>
  <r>
    <s v="TXN-00842"/>
    <d v="2023-04-10T00:00:00"/>
    <x v="0"/>
    <s v="April"/>
    <x v="3"/>
    <s v="Islamabad"/>
    <x v="4"/>
    <s v="Breads"/>
    <x v="104"/>
    <n v="1"/>
    <n v="1500"/>
    <n v="1500"/>
    <x v="0"/>
    <n v="0"/>
    <x v="75"/>
  </r>
  <r>
    <s v="TXN-00843"/>
    <d v="2023-07-09T00:00:00"/>
    <x v="0"/>
    <s v="July"/>
    <x v="0"/>
    <s v="Hyderabad"/>
    <x v="7"/>
    <s v="Plush Toys"/>
    <x v="58"/>
    <n v="4"/>
    <n v="1550"/>
    <n v="6200"/>
    <x v="0"/>
    <n v="0"/>
    <x v="546"/>
  </r>
  <r>
    <s v="TXN-00844"/>
    <d v="2025-12-02T00:00:00"/>
    <x v="1"/>
    <s v="December"/>
    <x v="1"/>
    <s v="Karachi"/>
    <x v="2"/>
    <s v="Dairy"/>
    <x v="49"/>
    <n v="1"/>
    <n v="110"/>
    <n v="110"/>
    <x v="0"/>
    <n v="0"/>
    <x v="547"/>
  </r>
  <r>
    <s v="TXN-00845"/>
    <d v="2024-01-29T00:00:00"/>
    <x v="2"/>
    <s v="January"/>
    <x v="3"/>
    <s v="Islamabad"/>
    <x v="2"/>
    <s v="Vegetables"/>
    <x v="81"/>
    <n v="1"/>
    <n v="100"/>
    <n v="100"/>
    <x v="0"/>
    <n v="0"/>
    <x v="548"/>
  </r>
  <r>
    <s v="TXN-00846"/>
    <d v="2025-02-01T00:00:00"/>
    <x v="1"/>
    <s v="February"/>
    <x v="3"/>
    <s v="Islamabad"/>
    <x v="7"/>
    <s v="Board Games"/>
    <x v="20"/>
    <n v="1"/>
    <n v="430"/>
    <n v="430"/>
    <x v="160"/>
    <n v="38.269999999999996"/>
    <x v="549"/>
  </r>
  <r>
    <s v="TXN-00847"/>
    <d v="2024-05-04T00:00:00"/>
    <x v="2"/>
    <s v="May"/>
    <x v="1"/>
    <s v="Karachi"/>
    <x v="0"/>
    <s v="Rice &amp; Grains"/>
    <x v="71"/>
    <n v="1"/>
    <n v="1650"/>
    <n v="1650"/>
    <x v="0"/>
    <n v="0"/>
    <x v="101"/>
  </r>
  <r>
    <s v="TXN-00848"/>
    <d v="2025-05-31T00:00:00"/>
    <x v="1"/>
    <s v="May"/>
    <x v="2"/>
    <s v="Lahore"/>
    <x v="6"/>
    <s v="Kids Wear"/>
    <x v="44"/>
    <n v="1"/>
    <n v="2000"/>
    <n v="2000"/>
    <x v="0"/>
    <n v="0"/>
    <x v="181"/>
  </r>
  <r>
    <s v="TXN-00849"/>
    <d v="2023-05-31T00:00:00"/>
    <x v="0"/>
    <s v="May"/>
    <x v="2"/>
    <s v="Lahore"/>
    <x v="1"/>
    <s v="Gadgets"/>
    <x v="99"/>
    <n v="1"/>
    <n v="30500"/>
    <n v="30500"/>
    <x v="0"/>
    <n v="0"/>
    <x v="255"/>
  </r>
  <r>
    <s v="TXN-00850"/>
    <d v="2025-08-18T00:00:00"/>
    <x v="1"/>
    <s v="August"/>
    <x v="3"/>
    <s v="Islamabad"/>
    <x v="1"/>
    <s v="Gadgets"/>
    <x v="42"/>
    <n v="1"/>
    <n v="80000"/>
    <n v="80000"/>
    <x v="161"/>
    <n v="11439.999999999998"/>
    <x v="550"/>
  </r>
  <r>
    <s v="TXN-00851"/>
    <d v="2025-02-28T00:00:00"/>
    <x v="1"/>
    <s v="February"/>
    <x v="3"/>
    <s v="Islamabad"/>
    <x v="7"/>
    <s v="Plush Toys"/>
    <x v="9"/>
    <n v="1"/>
    <n v="2350"/>
    <n v="2350"/>
    <x v="87"/>
    <n v="300.8"/>
    <x v="551"/>
  </r>
  <r>
    <s v="TXN-00852"/>
    <d v="2023-02-13T00:00:00"/>
    <x v="0"/>
    <s v="February"/>
    <x v="2"/>
    <s v="Lahore"/>
    <x v="1"/>
    <s v="Mobiles &amp; Tablets"/>
    <x v="1"/>
    <n v="1"/>
    <n v="4950"/>
    <n v="4950"/>
    <x v="28"/>
    <n v="450.45"/>
    <x v="552"/>
  </r>
  <r>
    <s v="TXN-00853"/>
    <d v="2023-11-15T00:00:00"/>
    <x v="0"/>
    <s v="November"/>
    <x v="2"/>
    <s v="Lahore"/>
    <x v="1"/>
    <s v="Audio &amp; Accessories"/>
    <x v="62"/>
    <n v="1"/>
    <n v="9000"/>
    <n v="9000"/>
    <x v="0"/>
    <n v="0"/>
    <x v="9"/>
  </r>
  <r>
    <s v="TXN-00854"/>
    <d v="2024-06-29T00:00:00"/>
    <x v="2"/>
    <s v="June"/>
    <x v="2"/>
    <s v="Lahore"/>
    <x v="3"/>
    <s v="Kitchenware"/>
    <x v="137"/>
    <n v="1"/>
    <n v="1550"/>
    <n v="1550"/>
    <x v="0"/>
    <n v="0"/>
    <x v="41"/>
  </r>
  <r>
    <s v="TXN-00855"/>
    <d v="2025-11-26T00:00:00"/>
    <x v="1"/>
    <s v="November"/>
    <x v="2"/>
    <s v="Lahore"/>
    <x v="5"/>
    <s v="Personal Care"/>
    <x v="103"/>
    <n v="4"/>
    <n v="1700"/>
    <n v="6800"/>
    <x v="0"/>
    <n v="0"/>
    <x v="447"/>
  </r>
  <r>
    <s v="TXN-00856"/>
    <d v="2023-08-03T00:00:00"/>
    <x v="0"/>
    <s v="August"/>
    <x v="2"/>
    <s v="Lahore"/>
    <x v="4"/>
    <s v="Cakes &amp; Pastries"/>
    <x v="95"/>
    <n v="1"/>
    <n v="1050"/>
    <n v="1050"/>
    <x v="0"/>
    <n v="0"/>
    <x v="130"/>
  </r>
  <r>
    <s v="TXN-00857"/>
    <d v="2023-03-07T00:00:00"/>
    <x v="0"/>
    <s v="March"/>
    <x v="0"/>
    <s v="Hyderabad"/>
    <x v="3"/>
    <s v="Kitchenware"/>
    <x v="13"/>
    <n v="1"/>
    <n v="3950"/>
    <n v="3950"/>
    <x v="68"/>
    <n v="434.5"/>
    <x v="553"/>
  </r>
  <r>
    <s v="TXN-00858"/>
    <d v="2024-08-06T00:00:00"/>
    <x v="2"/>
    <s v="August"/>
    <x v="0"/>
    <s v="Hyderabad"/>
    <x v="4"/>
    <s v="Savoury"/>
    <x v="48"/>
    <n v="6"/>
    <n v="900"/>
    <n v="5400"/>
    <x v="0"/>
    <n v="0"/>
    <x v="119"/>
  </r>
  <r>
    <s v="TXN-00859"/>
    <d v="2023-07-07T00:00:00"/>
    <x v="0"/>
    <s v="July"/>
    <x v="1"/>
    <s v="Karachi"/>
    <x v="6"/>
    <s v="Footwear"/>
    <x v="57"/>
    <n v="1"/>
    <n v="4200"/>
    <n v="4200"/>
    <x v="162"/>
    <n v="680.4"/>
    <x v="554"/>
  </r>
  <r>
    <s v="TXN-00860"/>
    <d v="2024-06-10T00:00:00"/>
    <x v="2"/>
    <s v="June"/>
    <x v="0"/>
    <s v="Hyderabad"/>
    <x v="7"/>
    <s v="Board Games"/>
    <x v="88"/>
    <n v="1"/>
    <n v="460"/>
    <n v="460"/>
    <x v="163"/>
    <n v="56.58"/>
    <x v="555"/>
  </r>
  <r>
    <s v="TXN-00861"/>
    <d v="2025-06-17T00:00:00"/>
    <x v="1"/>
    <s v="June"/>
    <x v="0"/>
    <s v="Hyderabad"/>
    <x v="3"/>
    <s v="Cleaning Supplies"/>
    <x v="131"/>
    <n v="3"/>
    <n v="2500"/>
    <n v="7500"/>
    <x v="0"/>
    <n v="0"/>
    <x v="322"/>
  </r>
  <r>
    <s v="TXN-00862"/>
    <d v="2025-01-23T00:00:00"/>
    <x v="1"/>
    <s v="January"/>
    <x v="2"/>
    <s v="Lahore"/>
    <x v="2"/>
    <s v="Fruits"/>
    <x v="78"/>
    <n v="1"/>
    <n v="700"/>
    <n v="700"/>
    <x v="0"/>
    <n v="0"/>
    <x v="478"/>
  </r>
  <r>
    <s v="TXN-00863"/>
    <d v="2024-03-15T00:00:00"/>
    <x v="2"/>
    <s v="March"/>
    <x v="3"/>
    <s v="Islamabad"/>
    <x v="3"/>
    <s v="Laundry"/>
    <x v="17"/>
    <n v="1"/>
    <n v="3050"/>
    <n v="3050"/>
    <x v="0"/>
    <n v="0"/>
    <x v="545"/>
  </r>
  <r>
    <s v="TXN-00864"/>
    <d v="2025-02-10T00:00:00"/>
    <x v="1"/>
    <s v="February"/>
    <x v="2"/>
    <s v="Lahore"/>
    <x v="1"/>
    <s v="Audio &amp; Accessories"/>
    <x v="92"/>
    <n v="1"/>
    <n v="42000"/>
    <n v="42000"/>
    <x v="0"/>
    <n v="0"/>
    <x v="556"/>
  </r>
  <r>
    <s v="TXN-00865"/>
    <d v="2023-04-25T00:00:00"/>
    <x v="0"/>
    <s v="April"/>
    <x v="3"/>
    <s v="Islamabad"/>
    <x v="3"/>
    <s v="Laundry"/>
    <x v="17"/>
    <n v="1"/>
    <n v="950"/>
    <n v="950"/>
    <x v="0"/>
    <n v="0"/>
    <x v="78"/>
  </r>
  <r>
    <s v="TXN-00866"/>
    <d v="2024-12-17T00:00:00"/>
    <x v="2"/>
    <s v="December"/>
    <x v="3"/>
    <s v="Islamabad"/>
    <x v="0"/>
    <s v="Spices"/>
    <x v="109"/>
    <n v="8"/>
    <n v="1900"/>
    <n v="15200"/>
    <x v="150"/>
    <n v="775.19999999999993"/>
    <x v="557"/>
  </r>
  <r>
    <s v="TXN-00867"/>
    <d v="2023-03-04T00:00:00"/>
    <x v="0"/>
    <s v="March"/>
    <x v="2"/>
    <s v="Lahore"/>
    <x v="5"/>
    <s v="Personal Care"/>
    <x v="103"/>
    <n v="1"/>
    <n v="3550"/>
    <n v="3550"/>
    <x v="0"/>
    <n v="0"/>
    <x v="242"/>
  </r>
  <r>
    <s v="TXN-00868"/>
    <d v="2024-07-19T00:00:00"/>
    <x v="2"/>
    <s v="July"/>
    <x v="1"/>
    <s v="Karachi"/>
    <x v="2"/>
    <s v="Dairy"/>
    <x v="14"/>
    <n v="1"/>
    <n v="230"/>
    <n v="230"/>
    <x v="148"/>
    <n v="7.36"/>
    <x v="558"/>
  </r>
  <r>
    <s v="TXN-00869"/>
    <d v="2025-03-31T00:00:00"/>
    <x v="1"/>
    <s v="March"/>
    <x v="3"/>
    <s v="Islamabad"/>
    <x v="3"/>
    <s v="Home Essentials"/>
    <x v="18"/>
    <n v="1"/>
    <n v="800"/>
    <n v="800"/>
    <x v="19"/>
    <n v="76"/>
    <x v="559"/>
  </r>
  <r>
    <s v="TXN-00870"/>
    <d v="2025-08-10T00:00:00"/>
    <x v="1"/>
    <s v="August"/>
    <x v="2"/>
    <s v="Lahore"/>
    <x v="0"/>
    <s v="Spices"/>
    <x v="34"/>
    <n v="6"/>
    <n v="1600"/>
    <n v="9600"/>
    <x v="0"/>
    <n v="0"/>
    <x v="260"/>
  </r>
  <r>
    <s v="TXN-00871"/>
    <d v="2025-09-27T00:00:00"/>
    <x v="1"/>
    <s v="September"/>
    <x v="3"/>
    <s v="Islamabad"/>
    <x v="4"/>
    <s v="Cookies"/>
    <x v="4"/>
    <n v="4"/>
    <n v="1750"/>
    <n v="7000"/>
    <x v="41"/>
    <n v="609"/>
    <x v="560"/>
  </r>
  <r>
    <s v="TXN-00872"/>
    <d v="2025-10-19T00:00:00"/>
    <x v="1"/>
    <s v="October"/>
    <x v="1"/>
    <s v="Karachi"/>
    <x v="7"/>
    <s v="Educational"/>
    <x v="45"/>
    <n v="1"/>
    <n v="2300"/>
    <n v="2300"/>
    <x v="0"/>
    <n v="0"/>
    <x v="52"/>
  </r>
  <r>
    <s v="TXN-00873"/>
    <d v="2025-09-02T00:00:00"/>
    <x v="1"/>
    <s v="September"/>
    <x v="0"/>
    <s v="Hyderabad"/>
    <x v="6"/>
    <s v="Women's Wear"/>
    <x v="38"/>
    <n v="1"/>
    <n v="6000"/>
    <n v="6000"/>
    <x v="0"/>
    <n v="0"/>
    <x v="38"/>
  </r>
  <r>
    <s v="TXN-00874"/>
    <d v="2023-03-29T00:00:00"/>
    <x v="0"/>
    <s v="March"/>
    <x v="3"/>
    <s v="Islamabad"/>
    <x v="6"/>
    <s v="Kids Wear"/>
    <x v="44"/>
    <n v="1"/>
    <n v="3100"/>
    <n v="3100"/>
    <x v="0"/>
    <n v="0"/>
    <x v="561"/>
  </r>
  <r>
    <s v="TXN-00875"/>
    <d v="2023-01-25T00:00:00"/>
    <x v="0"/>
    <s v="January"/>
    <x v="1"/>
    <s v="Karachi"/>
    <x v="3"/>
    <s v="Kitchenware"/>
    <x v="5"/>
    <n v="1"/>
    <n v="600"/>
    <n v="600"/>
    <x v="91"/>
    <n v="37.799999999999997"/>
    <x v="562"/>
  </r>
  <r>
    <s v="TXN-00876"/>
    <d v="2025-06-26T00:00:00"/>
    <x v="1"/>
    <s v="June"/>
    <x v="2"/>
    <s v="Lahore"/>
    <x v="4"/>
    <s v="Savoury"/>
    <x v="107"/>
    <n v="1"/>
    <n v="370"/>
    <n v="370"/>
    <x v="164"/>
    <n v="30.71"/>
    <x v="563"/>
  </r>
  <r>
    <s v="TXN-00877"/>
    <d v="2024-08-19T00:00:00"/>
    <x v="2"/>
    <s v="August"/>
    <x v="1"/>
    <s v="Karachi"/>
    <x v="1"/>
    <s v="Audio &amp; Accessories"/>
    <x v="62"/>
    <n v="1"/>
    <n v="50000"/>
    <n v="50000"/>
    <x v="0"/>
    <n v="0"/>
    <x v="453"/>
  </r>
  <r>
    <s v="TXN-00878"/>
    <d v="2023-02-21T00:00:00"/>
    <x v="0"/>
    <s v="February"/>
    <x v="1"/>
    <s v="Karachi"/>
    <x v="2"/>
    <s v="Vegetables"/>
    <x v="86"/>
    <n v="6"/>
    <n v="1100"/>
    <n v="6600"/>
    <x v="0"/>
    <n v="0"/>
    <x v="58"/>
  </r>
  <r>
    <s v="TXN-00879"/>
    <d v="2025-05-17T00:00:00"/>
    <x v="1"/>
    <s v="May"/>
    <x v="3"/>
    <s v="Islamabad"/>
    <x v="7"/>
    <s v="Action Figures"/>
    <x v="75"/>
    <n v="1"/>
    <n v="2700"/>
    <n v="2700"/>
    <x v="126"/>
    <n v="318.59999999999997"/>
    <x v="564"/>
  </r>
  <r>
    <s v="TXN-00880"/>
    <d v="2025-03-07T00:00:00"/>
    <x v="1"/>
    <s v="March"/>
    <x v="0"/>
    <s v="Hyderabad"/>
    <x v="7"/>
    <s v="Action Figures"/>
    <x v="75"/>
    <n v="3"/>
    <n v="800"/>
    <n v="2400"/>
    <x v="0"/>
    <n v="0"/>
    <x v="68"/>
  </r>
  <r>
    <s v="TXN-00881"/>
    <d v="2023-04-02T00:00:00"/>
    <x v="0"/>
    <s v="April"/>
    <x v="3"/>
    <s v="Islamabad"/>
    <x v="0"/>
    <s v="Lentils &amp; Beans"/>
    <x v="60"/>
    <n v="2"/>
    <n v="1400"/>
    <n v="2800"/>
    <x v="35"/>
    <n v="204.39999999999998"/>
    <x v="565"/>
  </r>
  <r>
    <s v="TXN-00882"/>
    <d v="2024-07-24T00:00:00"/>
    <x v="2"/>
    <s v="July"/>
    <x v="0"/>
    <s v="Hyderabad"/>
    <x v="3"/>
    <s v="Home Essentials"/>
    <x v="102"/>
    <n v="2"/>
    <n v="2450"/>
    <n v="4900"/>
    <x v="0"/>
    <n v="0"/>
    <x v="566"/>
  </r>
  <r>
    <s v="TXN-00883"/>
    <d v="2024-12-08T00:00:00"/>
    <x v="2"/>
    <s v="December"/>
    <x v="2"/>
    <s v="Lahore"/>
    <x v="3"/>
    <s v="Laundry"/>
    <x v="116"/>
    <n v="1"/>
    <n v="1750"/>
    <n v="1750"/>
    <x v="74"/>
    <n v="148.75"/>
    <x v="567"/>
  </r>
  <r>
    <s v="TXN-00884"/>
    <d v="2024-05-01T00:00:00"/>
    <x v="2"/>
    <s v="May"/>
    <x v="2"/>
    <s v="Lahore"/>
    <x v="1"/>
    <s v="Small Appliances"/>
    <x v="68"/>
    <n v="1"/>
    <n v="85000"/>
    <n v="85000"/>
    <x v="0"/>
    <n v="0"/>
    <x v="568"/>
  </r>
  <r>
    <s v="TXN-00885"/>
    <d v="2024-09-05T00:00:00"/>
    <x v="2"/>
    <s v="September"/>
    <x v="3"/>
    <s v="Islamabad"/>
    <x v="6"/>
    <s v="Footwear"/>
    <x v="57"/>
    <n v="1"/>
    <n v="5500"/>
    <n v="5500"/>
    <x v="0"/>
    <n v="0"/>
    <x v="238"/>
  </r>
  <r>
    <s v="TXN-00886"/>
    <d v="2025-06-17T00:00:00"/>
    <x v="1"/>
    <s v="June"/>
    <x v="2"/>
    <s v="Lahore"/>
    <x v="0"/>
    <s v="Rice &amp; Grains"/>
    <x v="23"/>
    <n v="12"/>
    <n v="1750"/>
    <n v="21000"/>
    <x v="150"/>
    <n v="1071"/>
    <x v="569"/>
  </r>
  <r>
    <s v="TXN-00887"/>
    <d v="2023-11-25T00:00:00"/>
    <x v="0"/>
    <s v="November"/>
    <x v="0"/>
    <s v="Hyderabad"/>
    <x v="7"/>
    <s v="Board Games"/>
    <x v="31"/>
    <n v="1"/>
    <n v="4100"/>
    <n v="4100"/>
    <x v="0"/>
    <n v="0"/>
    <x v="570"/>
  </r>
  <r>
    <s v="TXN-00888"/>
    <d v="2023-12-09T00:00:00"/>
    <x v="0"/>
    <s v="December"/>
    <x v="0"/>
    <s v="Hyderabad"/>
    <x v="4"/>
    <s v="Cakes &amp; Pastries"/>
    <x v="70"/>
    <n v="2"/>
    <n v="1150"/>
    <n v="2300"/>
    <x v="73"/>
    <n v="140.29999999999998"/>
    <x v="571"/>
  </r>
  <r>
    <s v="TXN-00889"/>
    <d v="2023-09-05T00:00:00"/>
    <x v="0"/>
    <s v="September"/>
    <x v="0"/>
    <s v="Hyderabad"/>
    <x v="5"/>
    <s v="Skincare"/>
    <x v="128"/>
    <n v="2"/>
    <n v="340"/>
    <n v="680"/>
    <x v="47"/>
    <n v="10.199999999999999"/>
    <x v="572"/>
  </r>
  <r>
    <s v="TXN-00890"/>
    <d v="2023-03-27T00:00:00"/>
    <x v="0"/>
    <s v="March"/>
    <x v="1"/>
    <s v="Karachi"/>
    <x v="0"/>
    <s v="Spices"/>
    <x v="82"/>
    <n v="2"/>
    <n v="240"/>
    <n v="480"/>
    <x v="37"/>
    <n v="4.3199999999999994"/>
    <x v="573"/>
  </r>
  <r>
    <s v="TXN-00891"/>
    <d v="2025-06-08T00:00:00"/>
    <x v="1"/>
    <s v="June"/>
    <x v="2"/>
    <s v="Lahore"/>
    <x v="7"/>
    <s v="Board Games"/>
    <x v="88"/>
    <n v="1"/>
    <n v="2800"/>
    <n v="2800"/>
    <x v="0"/>
    <n v="0"/>
    <x v="2"/>
  </r>
  <r>
    <s v="TXN-00892"/>
    <d v="2025-06-26T00:00:00"/>
    <x v="1"/>
    <s v="June"/>
    <x v="1"/>
    <s v="Karachi"/>
    <x v="7"/>
    <s v="Board Games"/>
    <x v="61"/>
    <n v="1"/>
    <n v="3750"/>
    <n v="3750"/>
    <x v="165"/>
    <n v="678.75"/>
    <x v="574"/>
  </r>
  <r>
    <s v="TXN-00893"/>
    <d v="2023-03-03T00:00:00"/>
    <x v="0"/>
    <s v="March"/>
    <x v="1"/>
    <s v="Karachi"/>
    <x v="6"/>
    <s v="Footwear"/>
    <x v="114"/>
    <n v="2"/>
    <n v="1600"/>
    <n v="3200"/>
    <x v="0"/>
    <n v="0"/>
    <x v="291"/>
  </r>
  <r>
    <s v="TXN-00894"/>
    <d v="2023-07-26T00:00:00"/>
    <x v="0"/>
    <s v="July"/>
    <x v="3"/>
    <s v="Islamabad"/>
    <x v="7"/>
    <s v="Plush Toys"/>
    <x v="11"/>
    <n v="1"/>
    <n v="1400"/>
    <n v="1400"/>
    <x v="77"/>
    <n v="246.39999999999998"/>
    <x v="575"/>
  </r>
  <r>
    <s v="TXN-00895"/>
    <d v="2025-08-18T00:00:00"/>
    <x v="1"/>
    <s v="August"/>
    <x v="0"/>
    <s v="Hyderabad"/>
    <x v="0"/>
    <s v="Lentils &amp; Beans"/>
    <x v="33"/>
    <n v="6"/>
    <n v="1500"/>
    <n v="9000"/>
    <x v="57"/>
    <n v="414"/>
    <x v="576"/>
  </r>
  <r>
    <s v="TXN-00896"/>
    <d v="2025-08-19T00:00:00"/>
    <x v="1"/>
    <s v="August"/>
    <x v="0"/>
    <s v="Hyderabad"/>
    <x v="5"/>
    <s v="Personal Care"/>
    <x v="103"/>
    <n v="2"/>
    <n v="1000"/>
    <n v="2000"/>
    <x v="0"/>
    <n v="0"/>
    <x v="181"/>
  </r>
  <r>
    <s v="TXN-00897"/>
    <d v="2025-12-19T00:00:00"/>
    <x v="1"/>
    <s v="December"/>
    <x v="0"/>
    <s v="Hyderabad"/>
    <x v="4"/>
    <s v="Cookies"/>
    <x v="90"/>
    <n v="2"/>
    <n v="330"/>
    <n v="660"/>
    <x v="166"/>
    <n v="36.96"/>
    <x v="577"/>
  </r>
  <r>
    <s v="TXN-00898"/>
    <d v="2025-04-18T00:00:00"/>
    <x v="1"/>
    <s v="April"/>
    <x v="1"/>
    <s v="Karachi"/>
    <x v="2"/>
    <s v="Fruits"/>
    <x v="123"/>
    <n v="1"/>
    <n v="190"/>
    <n v="190"/>
    <x v="0"/>
    <n v="0"/>
    <x v="174"/>
  </r>
  <r>
    <s v="TXN-00899"/>
    <d v="2025-11-09T00:00:00"/>
    <x v="1"/>
    <s v="November"/>
    <x v="1"/>
    <s v="Karachi"/>
    <x v="5"/>
    <s v="Personal Care"/>
    <x v="103"/>
    <n v="1"/>
    <n v="4050"/>
    <n v="4050"/>
    <x v="62"/>
    <n v="218.7"/>
    <x v="578"/>
  </r>
  <r>
    <s v="TXN-00900"/>
    <d v="2025-08-23T00:00:00"/>
    <x v="1"/>
    <s v="August"/>
    <x v="0"/>
    <s v="Hyderabad"/>
    <x v="4"/>
    <s v="Cookies"/>
    <x v="63"/>
    <n v="1"/>
    <n v="490"/>
    <n v="490"/>
    <x v="129"/>
    <n v="48.510000000000005"/>
    <x v="579"/>
  </r>
  <r>
    <s v="TXN-00901"/>
    <d v="2023-02-05T00:00:00"/>
    <x v="0"/>
    <s v="February"/>
    <x v="2"/>
    <s v="Lahore"/>
    <x v="7"/>
    <s v="Educational"/>
    <x v="45"/>
    <n v="2"/>
    <n v="4300"/>
    <n v="8600"/>
    <x v="167"/>
    <n v="2485.3999999999996"/>
    <x v="580"/>
  </r>
  <r>
    <s v="TXN-00902"/>
    <d v="2024-07-22T00:00:00"/>
    <x v="2"/>
    <s v="July"/>
    <x v="3"/>
    <s v="Islamabad"/>
    <x v="6"/>
    <s v="Kids Wear"/>
    <x v="44"/>
    <n v="1"/>
    <n v="3700"/>
    <n v="3700"/>
    <x v="4"/>
    <n v="743.7"/>
    <x v="581"/>
  </r>
  <r>
    <s v="TXN-00903"/>
    <d v="2023-10-07T00:00:00"/>
    <x v="0"/>
    <s v="October"/>
    <x v="2"/>
    <s v="Lahore"/>
    <x v="3"/>
    <s v="Cleaning Supplies"/>
    <x v="97"/>
    <n v="2"/>
    <n v="850"/>
    <n v="1700"/>
    <x v="0"/>
    <n v="0"/>
    <x v="83"/>
  </r>
  <r>
    <s v="TXN-00904"/>
    <d v="2023-11-19T00:00:00"/>
    <x v="0"/>
    <s v="November"/>
    <x v="2"/>
    <s v="Lahore"/>
    <x v="1"/>
    <s v="Small Appliances"/>
    <x v="21"/>
    <n v="1"/>
    <n v="22500"/>
    <n v="22500"/>
    <x v="168"/>
    <n v="2542.5"/>
    <x v="582"/>
  </r>
  <r>
    <s v="TXN-00905"/>
    <d v="2025-05-19T00:00:00"/>
    <x v="1"/>
    <s v="May"/>
    <x v="0"/>
    <s v="Hyderabad"/>
    <x v="5"/>
    <s v="Fragrances"/>
    <x v="84"/>
    <n v="1"/>
    <n v="1400"/>
    <n v="1400"/>
    <x v="0"/>
    <n v="0"/>
    <x v="161"/>
  </r>
  <r>
    <s v="TXN-00906"/>
    <d v="2023-07-19T00:00:00"/>
    <x v="0"/>
    <s v="July"/>
    <x v="2"/>
    <s v="Lahore"/>
    <x v="1"/>
    <s v="Mobiles &amp; Tablets"/>
    <x v="69"/>
    <n v="1"/>
    <n v="77000"/>
    <n v="77000"/>
    <x v="0"/>
    <n v="0"/>
    <x v="583"/>
  </r>
  <r>
    <s v="TXN-00907"/>
    <d v="2024-02-29T00:00:00"/>
    <x v="2"/>
    <s v="February"/>
    <x v="0"/>
    <s v="Hyderabad"/>
    <x v="1"/>
    <s v="Gadgets"/>
    <x v="136"/>
    <n v="1"/>
    <n v="10500"/>
    <n v="10500"/>
    <x v="0"/>
    <n v="0"/>
    <x v="584"/>
  </r>
  <r>
    <s v="TXN-00908"/>
    <d v="2025-08-15T00:00:00"/>
    <x v="1"/>
    <s v="August"/>
    <x v="3"/>
    <s v="Islamabad"/>
    <x v="0"/>
    <s v="Beverages"/>
    <x v="74"/>
    <n v="3"/>
    <n v="1700"/>
    <n v="5100"/>
    <x v="42"/>
    <n v="15.3"/>
    <x v="585"/>
  </r>
  <r>
    <s v="TXN-00909"/>
    <d v="2024-06-08T00:00:00"/>
    <x v="2"/>
    <s v="June"/>
    <x v="1"/>
    <s v="Karachi"/>
    <x v="6"/>
    <s v="Kids Wear"/>
    <x v="44"/>
    <n v="1"/>
    <n v="4500"/>
    <n v="4500"/>
    <x v="0"/>
    <n v="0"/>
    <x v="90"/>
  </r>
  <r>
    <s v="TXN-00910"/>
    <d v="2025-10-21T00:00:00"/>
    <x v="1"/>
    <s v="October"/>
    <x v="2"/>
    <s v="Lahore"/>
    <x v="5"/>
    <s v="Personal Care"/>
    <x v="103"/>
    <n v="1"/>
    <n v="4100"/>
    <n v="4100"/>
    <x v="0"/>
    <n v="0"/>
    <x v="570"/>
  </r>
  <r>
    <s v="TXN-00911"/>
    <d v="2024-02-20T00:00:00"/>
    <x v="2"/>
    <s v="February"/>
    <x v="0"/>
    <s v="Hyderabad"/>
    <x v="1"/>
    <s v="Audio &amp; Accessories"/>
    <x v="92"/>
    <n v="1"/>
    <n v="60500"/>
    <n v="60500"/>
    <x v="0"/>
    <n v="0"/>
    <x v="586"/>
  </r>
  <r>
    <s v="TXN-00912"/>
    <d v="2024-09-13T00:00:00"/>
    <x v="2"/>
    <s v="September"/>
    <x v="0"/>
    <s v="Hyderabad"/>
    <x v="1"/>
    <s v="Mobiles &amp; Tablets"/>
    <x v="1"/>
    <n v="1"/>
    <n v="62000"/>
    <n v="62000"/>
    <x v="0"/>
    <n v="0"/>
    <x v="587"/>
  </r>
  <r>
    <s v="TXN-00913"/>
    <d v="2023-01-10T00:00:00"/>
    <x v="0"/>
    <s v="January"/>
    <x v="0"/>
    <s v="Hyderabad"/>
    <x v="2"/>
    <s v="Fruits"/>
    <x v="28"/>
    <n v="8"/>
    <n v="150"/>
    <n v="1200"/>
    <x v="0"/>
    <n v="0"/>
    <x v="5"/>
  </r>
  <r>
    <s v="TXN-00914"/>
    <d v="2023-12-27T00:00:00"/>
    <x v="0"/>
    <s v="December"/>
    <x v="3"/>
    <s v="Islamabad"/>
    <x v="2"/>
    <s v="Fruits"/>
    <x v="28"/>
    <n v="3"/>
    <n v="1150"/>
    <n v="3450"/>
    <x v="0"/>
    <n v="0"/>
    <x v="217"/>
  </r>
  <r>
    <s v="TXN-00915"/>
    <d v="2025-12-13T00:00:00"/>
    <x v="1"/>
    <s v="December"/>
    <x v="1"/>
    <s v="Karachi"/>
    <x v="0"/>
    <s v="Beverages"/>
    <x v="126"/>
    <n v="6"/>
    <n v="550"/>
    <n v="3300"/>
    <x v="0"/>
    <n v="0"/>
    <x v="213"/>
  </r>
  <r>
    <s v="TXN-00916"/>
    <d v="2024-10-29T00:00:00"/>
    <x v="2"/>
    <s v="October"/>
    <x v="0"/>
    <s v="Hyderabad"/>
    <x v="3"/>
    <s v="Laundry"/>
    <x v="17"/>
    <n v="1"/>
    <n v="3600"/>
    <n v="3600"/>
    <x v="169"/>
    <n v="133.19999999999999"/>
    <x v="588"/>
  </r>
  <r>
    <s v="TXN-00917"/>
    <d v="2023-02-04T00:00:00"/>
    <x v="0"/>
    <s v="February"/>
    <x v="0"/>
    <s v="Hyderabad"/>
    <x v="6"/>
    <s v="Women's Wear"/>
    <x v="38"/>
    <n v="1"/>
    <n v="2000"/>
    <n v="2000"/>
    <x v="129"/>
    <n v="198"/>
    <x v="589"/>
  </r>
  <r>
    <s v="TXN-00918"/>
    <d v="2024-03-07T00:00:00"/>
    <x v="2"/>
    <s v="March"/>
    <x v="2"/>
    <s v="Lahore"/>
    <x v="7"/>
    <s v="Educational"/>
    <x v="113"/>
    <n v="1"/>
    <n v="2100"/>
    <n v="2100"/>
    <x v="6"/>
    <n v="294"/>
    <x v="590"/>
  </r>
  <r>
    <s v="TXN-00919"/>
    <d v="2024-12-18T00:00:00"/>
    <x v="2"/>
    <s v="December"/>
    <x v="1"/>
    <s v="Karachi"/>
    <x v="2"/>
    <s v="Vegetables"/>
    <x v="2"/>
    <n v="6"/>
    <n v="460"/>
    <n v="2760"/>
    <x v="3"/>
    <n v="71.759999999999991"/>
    <x v="591"/>
  </r>
  <r>
    <s v="TXN-00920"/>
    <d v="2023-01-23T00:00:00"/>
    <x v="0"/>
    <s v="January"/>
    <x v="2"/>
    <s v="Lahore"/>
    <x v="0"/>
    <s v="Lentils &amp; Beans"/>
    <x v="60"/>
    <n v="1"/>
    <n v="500"/>
    <n v="500"/>
    <x v="10"/>
    <n v="23.5"/>
    <x v="592"/>
  </r>
  <r>
    <s v="TXN-00921"/>
    <d v="2024-07-16T00:00:00"/>
    <x v="2"/>
    <s v="July"/>
    <x v="3"/>
    <s v="Islamabad"/>
    <x v="5"/>
    <s v="Skincare"/>
    <x v="120"/>
    <n v="5"/>
    <n v="2100"/>
    <n v="10500"/>
    <x v="0"/>
    <n v="0"/>
    <x v="584"/>
  </r>
  <r>
    <s v="TXN-00922"/>
    <d v="2023-08-01T00:00:00"/>
    <x v="0"/>
    <s v="August"/>
    <x v="2"/>
    <s v="Lahore"/>
    <x v="3"/>
    <s v="Cleaning Supplies"/>
    <x v="97"/>
    <n v="1"/>
    <n v="2300"/>
    <n v="2300"/>
    <x v="38"/>
    <n v="89.7"/>
    <x v="593"/>
  </r>
  <r>
    <s v="TXN-00923"/>
    <d v="2023-01-10T00:00:00"/>
    <x v="0"/>
    <s v="January"/>
    <x v="1"/>
    <s v="Karachi"/>
    <x v="1"/>
    <s v="Audio &amp; Accessories"/>
    <x v="98"/>
    <n v="1"/>
    <n v="23000"/>
    <n v="23000"/>
    <x v="0"/>
    <n v="0"/>
    <x v="594"/>
  </r>
  <r>
    <s v="TXN-00924"/>
    <d v="2023-02-11T00:00:00"/>
    <x v="0"/>
    <s v="February"/>
    <x v="3"/>
    <s v="Islamabad"/>
    <x v="1"/>
    <s v="Mobiles &amp; Tablets"/>
    <x v="101"/>
    <n v="1"/>
    <n v="13000"/>
    <n v="13000"/>
    <x v="0"/>
    <n v="0"/>
    <x v="456"/>
  </r>
  <r>
    <s v="TXN-00925"/>
    <d v="2024-05-21T00:00:00"/>
    <x v="2"/>
    <s v="May"/>
    <x v="1"/>
    <s v="Karachi"/>
    <x v="5"/>
    <s v="Makeup"/>
    <x v="54"/>
    <n v="1"/>
    <n v="800"/>
    <n v="800"/>
    <x v="0"/>
    <n v="0"/>
    <x v="109"/>
  </r>
  <r>
    <s v="TXN-00926"/>
    <d v="2023-09-14T00:00:00"/>
    <x v="0"/>
    <s v="September"/>
    <x v="2"/>
    <s v="Lahore"/>
    <x v="4"/>
    <s v="Cookies"/>
    <x v="4"/>
    <n v="12"/>
    <n v="1150"/>
    <n v="13800"/>
    <x v="0"/>
    <n v="0"/>
    <x v="595"/>
  </r>
  <r>
    <s v="TXN-00927"/>
    <d v="2024-08-22T00:00:00"/>
    <x v="2"/>
    <s v="August"/>
    <x v="0"/>
    <s v="Hyderabad"/>
    <x v="2"/>
    <s v="Meat &amp; Poultry"/>
    <x v="132"/>
    <n v="10"/>
    <n v="500"/>
    <n v="5000"/>
    <x v="0"/>
    <n v="0"/>
    <x v="55"/>
  </r>
  <r>
    <s v="TXN-00928"/>
    <d v="2024-10-26T00:00:00"/>
    <x v="2"/>
    <s v="October"/>
    <x v="3"/>
    <s v="Islamabad"/>
    <x v="1"/>
    <s v="Gadgets"/>
    <x v="136"/>
    <n v="1"/>
    <n v="75500"/>
    <n v="75500"/>
    <x v="0"/>
    <n v="0"/>
    <x v="446"/>
  </r>
  <r>
    <s v="TXN-00929"/>
    <d v="2025-09-16T00:00:00"/>
    <x v="1"/>
    <s v="September"/>
    <x v="1"/>
    <s v="Karachi"/>
    <x v="5"/>
    <s v="Skincare"/>
    <x v="6"/>
    <n v="1"/>
    <n v="2150"/>
    <n v="2150"/>
    <x v="166"/>
    <n v="120.4"/>
    <x v="596"/>
  </r>
  <r>
    <s v="TXN-00930"/>
    <d v="2023-02-08T00:00:00"/>
    <x v="0"/>
    <s v="February"/>
    <x v="2"/>
    <s v="Lahore"/>
    <x v="0"/>
    <s v="Beverages"/>
    <x v="126"/>
    <n v="8"/>
    <n v="1500"/>
    <n v="12000"/>
    <x v="45"/>
    <n v="456"/>
    <x v="597"/>
  </r>
  <r>
    <s v="TXN-00931"/>
    <d v="2025-02-10T00:00:00"/>
    <x v="1"/>
    <s v="February"/>
    <x v="1"/>
    <s v="Karachi"/>
    <x v="4"/>
    <s v="Breads"/>
    <x v="108"/>
    <n v="4"/>
    <n v="750"/>
    <n v="3000"/>
    <x v="152"/>
    <n v="3"/>
    <x v="598"/>
  </r>
  <r>
    <s v="TXN-00932"/>
    <d v="2025-07-11T00:00:00"/>
    <x v="1"/>
    <s v="July"/>
    <x v="0"/>
    <s v="Hyderabad"/>
    <x v="2"/>
    <s v="Dairy"/>
    <x v="14"/>
    <n v="1"/>
    <n v="1000"/>
    <n v="1000"/>
    <x v="42"/>
    <n v="3"/>
    <x v="599"/>
  </r>
  <r>
    <s v="TXN-00933"/>
    <d v="2023-07-01T00:00:00"/>
    <x v="0"/>
    <s v="July"/>
    <x v="0"/>
    <s v="Hyderabad"/>
    <x v="5"/>
    <s v="Personal Care"/>
    <x v="32"/>
    <n v="1"/>
    <n v="1000"/>
    <n v="1000"/>
    <x v="0"/>
    <n v="0"/>
    <x v="230"/>
  </r>
  <r>
    <s v="TXN-00934"/>
    <d v="2025-04-28T00:00:00"/>
    <x v="1"/>
    <s v="April"/>
    <x v="2"/>
    <s v="Lahore"/>
    <x v="0"/>
    <s v="Rice &amp; Grains"/>
    <x v="71"/>
    <n v="1"/>
    <n v="1450"/>
    <n v="1450"/>
    <x v="45"/>
    <n v="55.1"/>
    <x v="600"/>
  </r>
  <r>
    <s v="TXN-00935"/>
    <d v="2024-07-27T00:00:00"/>
    <x v="2"/>
    <s v="July"/>
    <x v="1"/>
    <s v="Karachi"/>
    <x v="7"/>
    <s v="Plush Toys"/>
    <x v="91"/>
    <n v="2"/>
    <n v="4500"/>
    <n v="9000"/>
    <x v="0"/>
    <n v="0"/>
    <x v="9"/>
  </r>
  <r>
    <s v="TXN-00936"/>
    <d v="2023-04-08T00:00:00"/>
    <x v="0"/>
    <s v="April"/>
    <x v="2"/>
    <s v="Lahore"/>
    <x v="2"/>
    <s v="Dairy"/>
    <x v="37"/>
    <n v="4"/>
    <n v="1050"/>
    <n v="4200"/>
    <x v="0"/>
    <n v="0"/>
    <x v="159"/>
  </r>
  <r>
    <s v="TXN-00937"/>
    <d v="2024-05-19T00:00:00"/>
    <x v="2"/>
    <s v="May"/>
    <x v="1"/>
    <s v="Karachi"/>
    <x v="2"/>
    <s v="Vegetables"/>
    <x v="56"/>
    <n v="1"/>
    <n v="650"/>
    <n v="650"/>
    <x v="0"/>
    <n v="0"/>
    <x v="227"/>
  </r>
  <r>
    <s v="TXN-00938"/>
    <d v="2025-06-22T00:00:00"/>
    <x v="1"/>
    <s v="June"/>
    <x v="2"/>
    <s v="Lahore"/>
    <x v="1"/>
    <s v="Audio &amp; Accessories"/>
    <x v="62"/>
    <n v="2"/>
    <n v="33000"/>
    <n v="66000"/>
    <x v="0"/>
    <n v="0"/>
    <x v="601"/>
  </r>
  <r>
    <s v="TXN-00939"/>
    <d v="2024-02-06T00:00:00"/>
    <x v="2"/>
    <s v="February"/>
    <x v="0"/>
    <s v="Hyderabad"/>
    <x v="1"/>
    <s v="Small Appliances"/>
    <x v="66"/>
    <n v="1"/>
    <n v="15500"/>
    <n v="15500"/>
    <x v="170"/>
    <n v="1937.5"/>
    <x v="602"/>
  </r>
  <r>
    <s v="TXN-00940"/>
    <d v="2024-08-21T00:00:00"/>
    <x v="2"/>
    <s v="August"/>
    <x v="2"/>
    <s v="Lahore"/>
    <x v="2"/>
    <s v="Fruits"/>
    <x v="77"/>
    <n v="2"/>
    <n v="360"/>
    <n v="720"/>
    <x v="171"/>
    <n v="20.880000000000003"/>
    <x v="603"/>
  </r>
  <r>
    <s v="TXN-00941"/>
    <d v="2023-04-01T00:00:00"/>
    <x v="0"/>
    <s v="April"/>
    <x v="1"/>
    <s v="Karachi"/>
    <x v="5"/>
    <s v="Fragrances"/>
    <x v="84"/>
    <n v="1"/>
    <n v="3800"/>
    <n v="3800"/>
    <x v="0"/>
    <n v="0"/>
    <x v="246"/>
  </r>
  <r>
    <s v="TXN-00942"/>
    <d v="2024-05-01T00:00:00"/>
    <x v="2"/>
    <s v="May"/>
    <x v="0"/>
    <s v="Hyderabad"/>
    <x v="0"/>
    <s v="Packaged Foods"/>
    <x v="93"/>
    <n v="6"/>
    <n v="600"/>
    <n v="3600"/>
    <x v="97"/>
    <n v="14.4"/>
    <x v="604"/>
  </r>
  <r>
    <s v="TXN-00943"/>
    <d v="2023-12-16T00:00:00"/>
    <x v="0"/>
    <s v="December"/>
    <x v="1"/>
    <s v="Karachi"/>
    <x v="4"/>
    <s v="Breads"/>
    <x v="108"/>
    <n v="1"/>
    <n v="1300"/>
    <n v="1300"/>
    <x v="19"/>
    <n v="123.5"/>
    <x v="605"/>
  </r>
  <r>
    <s v="TXN-00944"/>
    <d v="2023-06-03T00:00:00"/>
    <x v="0"/>
    <s v="June"/>
    <x v="0"/>
    <s v="Hyderabad"/>
    <x v="1"/>
    <s v="Mobiles &amp; Tablets"/>
    <x v="1"/>
    <n v="1"/>
    <n v="9000"/>
    <n v="9000"/>
    <x v="150"/>
    <n v="458.99999999999994"/>
    <x v="606"/>
  </r>
  <r>
    <s v="TXN-00945"/>
    <d v="2023-09-08T00:00:00"/>
    <x v="0"/>
    <s v="September"/>
    <x v="2"/>
    <s v="Lahore"/>
    <x v="2"/>
    <s v="Vegetables"/>
    <x v="86"/>
    <n v="3"/>
    <n v="410"/>
    <n v="1230"/>
    <x v="20"/>
    <n v="19.68"/>
    <x v="607"/>
  </r>
  <r>
    <s v="TXN-00946"/>
    <d v="2023-01-20T00:00:00"/>
    <x v="0"/>
    <s v="January"/>
    <x v="3"/>
    <s v="Islamabad"/>
    <x v="0"/>
    <s v="Packaged Foods"/>
    <x v="112"/>
    <n v="2"/>
    <n v="230"/>
    <n v="460"/>
    <x v="0"/>
    <n v="0"/>
    <x v="608"/>
  </r>
  <r>
    <s v="TXN-00947"/>
    <d v="2023-04-10T00:00:00"/>
    <x v="0"/>
    <s v="April"/>
    <x v="3"/>
    <s v="Islamabad"/>
    <x v="5"/>
    <s v="Fragrances"/>
    <x v="84"/>
    <n v="2"/>
    <n v="800"/>
    <n v="1600"/>
    <x v="96"/>
    <n v="19.2"/>
    <x v="609"/>
  </r>
  <r>
    <s v="TXN-00948"/>
    <d v="2024-08-15T00:00:00"/>
    <x v="2"/>
    <s v="August"/>
    <x v="0"/>
    <s v="Hyderabad"/>
    <x v="0"/>
    <s v="Lentils &amp; Beans"/>
    <x v="26"/>
    <n v="1"/>
    <n v="600"/>
    <n v="600"/>
    <x v="142"/>
    <n v="35.4"/>
    <x v="610"/>
  </r>
  <r>
    <s v="TXN-00949"/>
    <d v="2024-01-15T00:00:00"/>
    <x v="2"/>
    <s v="January"/>
    <x v="2"/>
    <s v="Lahore"/>
    <x v="2"/>
    <s v="Fruits"/>
    <x v="123"/>
    <n v="1"/>
    <n v="1000"/>
    <n v="1000"/>
    <x v="104"/>
    <n v="8"/>
    <x v="611"/>
  </r>
  <r>
    <s v="TXN-00950"/>
    <d v="2023-10-24T00:00:00"/>
    <x v="0"/>
    <s v="October"/>
    <x v="0"/>
    <s v="Hyderabad"/>
    <x v="1"/>
    <s v="Gadgets"/>
    <x v="42"/>
    <n v="1"/>
    <n v="48000"/>
    <n v="48000"/>
    <x v="19"/>
    <n v="4560"/>
    <x v="612"/>
  </r>
  <r>
    <s v="TXN-00951"/>
    <d v="2024-09-07T00:00:00"/>
    <x v="2"/>
    <s v="September"/>
    <x v="3"/>
    <s v="Islamabad"/>
    <x v="6"/>
    <s v="Women's Wear"/>
    <x v="16"/>
    <n v="1"/>
    <n v="5500"/>
    <n v="5500"/>
    <x v="172"/>
    <n v="1127.5"/>
    <x v="613"/>
  </r>
  <r>
    <s v="TXN-00952"/>
    <d v="2024-03-02T00:00:00"/>
    <x v="2"/>
    <s v="March"/>
    <x v="2"/>
    <s v="Lahore"/>
    <x v="7"/>
    <s v="Board Games"/>
    <x v="31"/>
    <n v="1"/>
    <n v="4500"/>
    <n v="4500"/>
    <x v="0"/>
    <n v="0"/>
    <x v="90"/>
  </r>
  <r>
    <s v="TXN-00953"/>
    <d v="2025-12-27T00:00:00"/>
    <x v="1"/>
    <s v="December"/>
    <x v="1"/>
    <s v="Karachi"/>
    <x v="5"/>
    <s v="Skincare"/>
    <x v="79"/>
    <n v="2"/>
    <n v="4050"/>
    <n v="8100"/>
    <x v="51"/>
    <n v="599.4"/>
    <x v="614"/>
  </r>
  <r>
    <s v="TXN-00954"/>
    <d v="2024-02-14T00:00:00"/>
    <x v="2"/>
    <s v="February"/>
    <x v="1"/>
    <s v="Karachi"/>
    <x v="1"/>
    <s v="Gadgets"/>
    <x v="99"/>
    <n v="1"/>
    <n v="53500"/>
    <n v="53500"/>
    <x v="0"/>
    <n v="0"/>
    <x v="615"/>
  </r>
  <r>
    <s v="TXN-00955"/>
    <d v="2024-04-13T00:00:00"/>
    <x v="2"/>
    <s v="April"/>
    <x v="0"/>
    <s v="Hyderabad"/>
    <x v="0"/>
    <s v="Beverages"/>
    <x v="27"/>
    <n v="3"/>
    <n v="2300"/>
    <n v="6900"/>
    <x v="107"/>
    <n v="282.90000000000003"/>
    <x v="616"/>
  </r>
  <r>
    <s v="TXN-00956"/>
    <d v="2025-07-04T00:00:00"/>
    <x v="1"/>
    <s v="July"/>
    <x v="2"/>
    <s v="Lahore"/>
    <x v="7"/>
    <s v="Action Figures"/>
    <x v="94"/>
    <n v="2"/>
    <n v="2750"/>
    <n v="5500"/>
    <x v="0"/>
    <n v="0"/>
    <x v="238"/>
  </r>
  <r>
    <s v="TXN-00957"/>
    <d v="2023-10-15T00:00:00"/>
    <x v="0"/>
    <s v="October"/>
    <x v="2"/>
    <s v="Lahore"/>
    <x v="2"/>
    <s v="Fruits"/>
    <x v="78"/>
    <n v="4"/>
    <n v="750"/>
    <n v="3000"/>
    <x v="97"/>
    <n v="12"/>
    <x v="617"/>
  </r>
  <r>
    <s v="TXN-00958"/>
    <d v="2023-06-03T00:00:00"/>
    <x v="0"/>
    <s v="June"/>
    <x v="2"/>
    <s v="Lahore"/>
    <x v="0"/>
    <s v="Lentils &amp; Beans"/>
    <x v="40"/>
    <n v="5"/>
    <n v="800"/>
    <n v="4000"/>
    <x v="52"/>
    <n v="228"/>
    <x v="618"/>
  </r>
  <r>
    <s v="TXN-00959"/>
    <d v="2025-03-22T00:00:00"/>
    <x v="1"/>
    <s v="March"/>
    <x v="0"/>
    <s v="Hyderabad"/>
    <x v="5"/>
    <s v="Skincare"/>
    <x v="128"/>
    <n v="1"/>
    <n v="600"/>
    <n v="600"/>
    <x v="0"/>
    <n v="0"/>
    <x v="140"/>
  </r>
  <r>
    <s v="TXN-00960"/>
    <d v="2025-09-27T00:00:00"/>
    <x v="1"/>
    <s v="September"/>
    <x v="0"/>
    <s v="Hyderabad"/>
    <x v="0"/>
    <s v="Rice &amp; Grains"/>
    <x v="71"/>
    <n v="12"/>
    <n v="2350"/>
    <n v="28200"/>
    <x v="0"/>
    <n v="0"/>
    <x v="619"/>
  </r>
  <r>
    <s v="TXN-00961"/>
    <d v="2023-10-06T00:00:00"/>
    <x v="0"/>
    <s v="October"/>
    <x v="1"/>
    <s v="Karachi"/>
    <x v="1"/>
    <s v="Gadgets"/>
    <x v="99"/>
    <n v="1"/>
    <n v="7500"/>
    <n v="7500"/>
    <x v="173"/>
    <n v="870"/>
    <x v="620"/>
  </r>
  <r>
    <s v="TXN-00962"/>
    <d v="2023-11-18T00:00:00"/>
    <x v="0"/>
    <s v="November"/>
    <x v="1"/>
    <s v="Karachi"/>
    <x v="5"/>
    <s v="Fragrances"/>
    <x v="133"/>
    <n v="2"/>
    <n v="3050"/>
    <n v="6100"/>
    <x v="174"/>
    <n v="536.79999999999995"/>
    <x v="621"/>
  </r>
  <r>
    <s v="TXN-00963"/>
    <d v="2025-04-02T00:00:00"/>
    <x v="1"/>
    <s v="April"/>
    <x v="3"/>
    <s v="Islamabad"/>
    <x v="7"/>
    <s v="Educational"/>
    <x v="129"/>
    <n v="1"/>
    <n v="2400"/>
    <n v="2400"/>
    <x v="7"/>
    <n v="304.8"/>
    <x v="622"/>
  </r>
  <r>
    <s v="TXN-00964"/>
    <d v="2025-02-04T00:00:00"/>
    <x v="1"/>
    <s v="February"/>
    <x v="2"/>
    <s v="Lahore"/>
    <x v="6"/>
    <s v="Men's Wear"/>
    <x v="35"/>
    <n v="1"/>
    <n v="5000"/>
    <n v="5000"/>
    <x v="0"/>
    <n v="0"/>
    <x v="55"/>
  </r>
  <r>
    <s v="TXN-00965"/>
    <d v="2025-01-24T00:00:00"/>
    <x v="1"/>
    <s v="January"/>
    <x v="1"/>
    <s v="Karachi"/>
    <x v="7"/>
    <s v="Educational"/>
    <x v="45"/>
    <n v="1"/>
    <n v="1750"/>
    <n v="1750"/>
    <x v="0"/>
    <n v="0"/>
    <x v="538"/>
  </r>
  <r>
    <s v="TXN-00966"/>
    <d v="2023-11-02T00:00:00"/>
    <x v="0"/>
    <s v="November"/>
    <x v="3"/>
    <s v="Islamabad"/>
    <x v="7"/>
    <s v="Action Figures"/>
    <x v="29"/>
    <n v="1"/>
    <n v="470"/>
    <n v="470"/>
    <x v="73"/>
    <n v="28.669999999999998"/>
    <x v="623"/>
  </r>
  <r>
    <s v="TXN-00967"/>
    <d v="2025-07-26T00:00:00"/>
    <x v="1"/>
    <s v="July"/>
    <x v="3"/>
    <s v="Islamabad"/>
    <x v="0"/>
    <s v="Beverages"/>
    <x v="27"/>
    <n v="3"/>
    <n v="2350"/>
    <n v="7050"/>
    <x v="124"/>
    <n v="310.2"/>
    <x v="624"/>
  </r>
  <r>
    <s v="TXN-00968"/>
    <d v="2023-04-25T00:00:00"/>
    <x v="0"/>
    <s v="April"/>
    <x v="2"/>
    <s v="Lahore"/>
    <x v="4"/>
    <s v="Savoury"/>
    <x v="119"/>
    <n v="1"/>
    <n v="1500"/>
    <n v="1500"/>
    <x v="0"/>
    <n v="0"/>
    <x v="75"/>
  </r>
  <r>
    <s v="TXN-00969"/>
    <d v="2024-02-20T00:00:00"/>
    <x v="2"/>
    <s v="February"/>
    <x v="3"/>
    <s v="Islamabad"/>
    <x v="2"/>
    <s v="Fruits"/>
    <x v="28"/>
    <n v="1"/>
    <n v="700"/>
    <n v="700"/>
    <x v="45"/>
    <n v="26.599999999999998"/>
    <x v="625"/>
  </r>
  <r>
    <s v="TXN-00970"/>
    <d v="2023-10-22T00:00:00"/>
    <x v="0"/>
    <s v="October"/>
    <x v="3"/>
    <s v="Islamabad"/>
    <x v="2"/>
    <s v="Dairy"/>
    <x v="51"/>
    <n v="1"/>
    <n v="180"/>
    <n v="180"/>
    <x v="0"/>
    <n v="0"/>
    <x v="626"/>
  </r>
  <r>
    <s v="TXN-00971"/>
    <d v="2023-06-30T00:00:00"/>
    <x v="0"/>
    <s v="June"/>
    <x v="1"/>
    <s v="Karachi"/>
    <x v="6"/>
    <s v="Women's Wear"/>
    <x v="16"/>
    <n v="1"/>
    <n v="4650"/>
    <n v="4650"/>
    <x v="0"/>
    <n v="0"/>
    <x v="627"/>
  </r>
  <r>
    <s v="TXN-00972"/>
    <d v="2025-03-23T00:00:00"/>
    <x v="1"/>
    <s v="March"/>
    <x v="0"/>
    <s v="Hyderabad"/>
    <x v="2"/>
    <s v="Fruits"/>
    <x v="52"/>
    <n v="3"/>
    <n v="230"/>
    <n v="690"/>
    <x v="0"/>
    <n v="0"/>
    <x v="628"/>
  </r>
  <r>
    <s v="TXN-00973"/>
    <d v="2023-05-05T00:00:00"/>
    <x v="0"/>
    <s v="May"/>
    <x v="1"/>
    <s v="Karachi"/>
    <x v="2"/>
    <s v="Meat &amp; Poultry"/>
    <x v="118"/>
    <n v="8"/>
    <n v="850"/>
    <n v="6800"/>
    <x v="0"/>
    <n v="0"/>
    <x v="447"/>
  </r>
  <r>
    <s v="TXN-00974"/>
    <d v="2025-08-17T00:00:00"/>
    <x v="1"/>
    <s v="August"/>
    <x v="1"/>
    <s v="Karachi"/>
    <x v="5"/>
    <s v="Fragrances"/>
    <x v="133"/>
    <n v="2"/>
    <n v="1650"/>
    <n v="3300"/>
    <x v="155"/>
    <n v="409.2"/>
    <x v="629"/>
  </r>
  <r>
    <s v="TXN-00975"/>
    <d v="2023-03-01T00:00:00"/>
    <x v="0"/>
    <s v="March"/>
    <x v="0"/>
    <s v="Hyderabad"/>
    <x v="4"/>
    <s v="Savoury"/>
    <x v="125"/>
    <n v="1"/>
    <n v="230"/>
    <n v="230"/>
    <x v="0"/>
    <n v="0"/>
    <x v="210"/>
  </r>
  <r>
    <s v="TXN-00976"/>
    <d v="2025-07-04T00:00:00"/>
    <x v="1"/>
    <s v="July"/>
    <x v="1"/>
    <s v="Karachi"/>
    <x v="0"/>
    <s v="Lentils &amp; Beans"/>
    <x v="40"/>
    <n v="2"/>
    <n v="2000"/>
    <n v="4000"/>
    <x v="0"/>
    <n v="0"/>
    <x v="133"/>
  </r>
  <r>
    <s v="TXN-00977"/>
    <d v="2025-09-18T00:00:00"/>
    <x v="1"/>
    <s v="September"/>
    <x v="3"/>
    <s v="Islamabad"/>
    <x v="7"/>
    <s v="Educational"/>
    <x v="129"/>
    <n v="3"/>
    <n v="1500"/>
    <n v="4500"/>
    <x v="175"/>
    <n v="810"/>
    <x v="630"/>
  </r>
  <r>
    <s v="TXN-00978"/>
    <d v="2024-05-06T00:00:00"/>
    <x v="2"/>
    <s v="May"/>
    <x v="1"/>
    <s v="Karachi"/>
    <x v="7"/>
    <s v="Board Games"/>
    <x v="20"/>
    <n v="3"/>
    <n v="390"/>
    <n v="1170"/>
    <x v="131"/>
    <n v="81.900000000000006"/>
    <x v="631"/>
  </r>
  <r>
    <s v="TXN-00979"/>
    <d v="2025-10-30T00:00:00"/>
    <x v="1"/>
    <s v="October"/>
    <x v="3"/>
    <s v="Islamabad"/>
    <x v="2"/>
    <s v="Fruits"/>
    <x v="28"/>
    <n v="3"/>
    <n v="750"/>
    <n v="2250"/>
    <x v="0"/>
    <n v="0"/>
    <x v="399"/>
  </r>
  <r>
    <s v="TXN-00980"/>
    <d v="2024-03-27T00:00:00"/>
    <x v="2"/>
    <s v="March"/>
    <x v="0"/>
    <s v="Hyderabad"/>
    <x v="2"/>
    <s v="Fruits"/>
    <x v="123"/>
    <n v="2"/>
    <n v="750"/>
    <n v="1500"/>
    <x v="0"/>
    <n v="0"/>
    <x v="75"/>
  </r>
  <r>
    <s v="TXN-00981"/>
    <d v="2024-03-21T00:00:00"/>
    <x v="2"/>
    <s v="March"/>
    <x v="0"/>
    <s v="Hyderabad"/>
    <x v="0"/>
    <s v="Cooking Oil"/>
    <x v="127"/>
    <n v="1"/>
    <n v="310"/>
    <n v="310"/>
    <x v="141"/>
    <n v="13.95"/>
    <x v="632"/>
  </r>
  <r>
    <s v="TXN-00982"/>
    <d v="2024-09-29T00:00:00"/>
    <x v="2"/>
    <s v="September"/>
    <x v="0"/>
    <s v="Hyderabad"/>
    <x v="3"/>
    <s v="Laundry"/>
    <x v="116"/>
    <n v="1"/>
    <n v="4000"/>
    <n v="4000"/>
    <x v="35"/>
    <n v="292"/>
    <x v="633"/>
  </r>
  <r>
    <s v="TXN-00983"/>
    <d v="2023-08-04T00:00:00"/>
    <x v="0"/>
    <s v="August"/>
    <x v="0"/>
    <s v="Hyderabad"/>
    <x v="4"/>
    <s v="Cookies"/>
    <x v="63"/>
    <n v="2"/>
    <n v="1350"/>
    <n v="2700"/>
    <x v="0"/>
    <n v="0"/>
    <x v="152"/>
  </r>
  <r>
    <s v="TXN-00984"/>
    <d v="2023-01-05T00:00:00"/>
    <x v="0"/>
    <s v="January"/>
    <x v="1"/>
    <s v="Karachi"/>
    <x v="1"/>
    <s v="Audio &amp; Accessories"/>
    <x v="92"/>
    <n v="1"/>
    <n v="52500"/>
    <n v="52500"/>
    <x v="0"/>
    <n v="0"/>
    <x v="634"/>
  </r>
  <r>
    <s v="TXN-00985"/>
    <d v="2025-02-14T00:00:00"/>
    <x v="1"/>
    <s v="February"/>
    <x v="3"/>
    <s v="Islamabad"/>
    <x v="4"/>
    <s v="Cakes &amp; Pastries"/>
    <x v="65"/>
    <n v="6"/>
    <n v="1500"/>
    <n v="9000"/>
    <x v="0"/>
    <n v="0"/>
    <x v="9"/>
  </r>
  <r>
    <s v="TXN-00986"/>
    <d v="2024-04-16T00:00:00"/>
    <x v="2"/>
    <s v="April"/>
    <x v="3"/>
    <s v="Islamabad"/>
    <x v="0"/>
    <s v="Rice &amp; Grains"/>
    <x v="71"/>
    <n v="2"/>
    <n v="170"/>
    <n v="340"/>
    <x v="142"/>
    <n v="20.059999999999999"/>
    <x v="635"/>
  </r>
  <r>
    <s v="TXN-00987"/>
    <d v="2024-12-18T00:00:00"/>
    <x v="2"/>
    <s v="December"/>
    <x v="2"/>
    <s v="Lahore"/>
    <x v="0"/>
    <s v="Packaged Foods"/>
    <x v="93"/>
    <n v="1"/>
    <n v="1250"/>
    <n v="1250"/>
    <x v="0"/>
    <n v="0"/>
    <x v="214"/>
  </r>
  <r>
    <s v="TXN-00988"/>
    <d v="2025-12-27T00:00:00"/>
    <x v="1"/>
    <s v="December"/>
    <x v="2"/>
    <s v="Lahore"/>
    <x v="1"/>
    <s v="Audio &amp; Accessories"/>
    <x v="98"/>
    <n v="1"/>
    <n v="84000"/>
    <n v="84000"/>
    <x v="0"/>
    <n v="0"/>
    <x v="636"/>
  </r>
  <r>
    <s v="TXN-00989"/>
    <d v="2023-05-10T00:00:00"/>
    <x v="0"/>
    <s v="May"/>
    <x v="3"/>
    <s v="Islamabad"/>
    <x v="5"/>
    <s v="Personal Care"/>
    <x v="32"/>
    <n v="1"/>
    <n v="3950"/>
    <n v="3950"/>
    <x v="0"/>
    <n v="0"/>
    <x v="207"/>
  </r>
  <r>
    <s v="TXN-00990"/>
    <d v="2025-11-13T00:00:00"/>
    <x v="1"/>
    <s v="November"/>
    <x v="1"/>
    <s v="Karachi"/>
    <x v="7"/>
    <s v="Action Figures"/>
    <x v="94"/>
    <n v="2"/>
    <n v="1000"/>
    <n v="2000"/>
    <x v="176"/>
    <n v="412"/>
    <x v="637"/>
  </r>
  <r>
    <s v="TXN-00991"/>
    <d v="2025-04-15T00:00:00"/>
    <x v="1"/>
    <s v="April"/>
    <x v="0"/>
    <s v="Hyderabad"/>
    <x v="7"/>
    <s v="Educational"/>
    <x v="113"/>
    <n v="1"/>
    <n v="4000"/>
    <n v="4000"/>
    <x v="0"/>
    <n v="0"/>
    <x v="133"/>
  </r>
  <r>
    <s v="TXN-00992"/>
    <d v="2023-03-01T00:00:00"/>
    <x v="0"/>
    <s v="March"/>
    <x v="2"/>
    <s v="Lahore"/>
    <x v="4"/>
    <s v="Savoury"/>
    <x v="125"/>
    <n v="2"/>
    <n v="650"/>
    <n v="1300"/>
    <x v="13"/>
    <n v="39"/>
    <x v="638"/>
  </r>
  <r>
    <s v="TXN-00993"/>
    <d v="2025-03-15T00:00:00"/>
    <x v="1"/>
    <s v="March"/>
    <x v="0"/>
    <s v="Hyderabad"/>
    <x v="1"/>
    <s v="Small Appliances"/>
    <x v="21"/>
    <n v="1"/>
    <n v="2100"/>
    <n v="2100"/>
    <x v="164"/>
    <n v="174.3"/>
    <x v="639"/>
  </r>
  <r>
    <s v="TXN-00994"/>
    <d v="2023-09-30T00:00:00"/>
    <x v="0"/>
    <s v="September"/>
    <x v="2"/>
    <s v="Lahore"/>
    <x v="0"/>
    <s v="Lentils &amp; Beans"/>
    <x v="26"/>
    <n v="4"/>
    <n v="1850"/>
    <n v="7400"/>
    <x v="0"/>
    <n v="0"/>
    <x v="640"/>
  </r>
  <r>
    <s v="TXN-00995"/>
    <d v="2023-09-04T00:00:00"/>
    <x v="0"/>
    <s v="September"/>
    <x v="1"/>
    <s v="Karachi"/>
    <x v="2"/>
    <s v="Fruits"/>
    <x v="78"/>
    <n v="1"/>
    <n v="490"/>
    <n v="490"/>
    <x v="0"/>
    <n v="0"/>
    <x v="294"/>
  </r>
  <r>
    <s v="TXN-00996"/>
    <d v="2024-02-09T00:00:00"/>
    <x v="2"/>
    <s v="February"/>
    <x v="2"/>
    <s v="Lahore"/>
    <x v="4"/>
    <s v="Savoury"/>
    <x v="107"/>
    <n v="4"/>
    <n v="1650"/>
    <n v="6600"/>
    <x v="0"/>
    <n v="0"/>
    <x v="58"/>
  </r>
  <r>
    <s v="TXN-00997"/>
    <d v="2025-12-14T00:00:00"/>
    <x v="1"/>
    <s v="December"/>
    <x v="2"/>
    <s v="Lahore"/>
    <x v="6"/>
    <s v="Footwear"/>
    <x v="89"/>
    <n v="1"/>
    <n v="1400"/>
    <n v="1400"/>
    <x v="177"/>
    <n v="225.4"/>
    <x v="641"/>
  </r>
  <r>
    <s v="TXN-00998"/>
    <d v="2025-05-17T00:00:00"/>
    <x v="1"/>
    <s v="May"/>
    <x v="3"/>
    <s v="Islamabad"/>
    <x v="2"/>
    <s v="Vegetables"/>
    <x v="56"/>
    <n v="1"/>
    <n v="500"/>
    <n v="500"/>
    <x v="20"/>
    <n v="8"/>
    <x v="642"/>
  </r>
  <r>
    <s v="TXN-00999"/>
    <d v="2025-03-29T00:00:00"/>
    <x v="1"/>
    <s v="March"/>
    <x v="2"/>
    <s v="Lahore"/>
    <x v="0"/>
    <s v="Cooking Oil"/>
    <x v="80"/>
    <n v="1"/>
    <n v="310"/>
    <n v="310"/>
    <x v="0"/>
    <n v="0"/>
    <x v="643"/>
  </r>
  <r>
    <s v="TXN-01000"/>
    <d v="2023-04-09T00:00:00"/>
    <x v="0"/>
    <s v="April"/>
    <x v="1"/>
    <s v="Karachi"/>
    <x v="7"/>
    <s v="Action Figures"/>
    <x v="94"/>
    <n v="1"/>
    <n v="1550"/>
    <n v="1550"/>
    <x v="0"/>
    <n v="0"/>
    <x v="4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A9BDF52-819D-4E34-82AF-B57C9DD9DABC}"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1" firstHeaderRow="1" firstDataRow="2" firstDataCol="1"/>
  <pivotFields count="15">
    <pivotField showAll="0"/>
    <pivotField numFmtId="164" showAll="0"/>
    <pivotField axis="axisCol" numFmtId="1" showAll="0">
      <items count="4">
        <item x="0"/>
        <item x="2"/>
        <item x="1"/>
        <item t="default"/>
      </items>
    </pivotField>
    <pivotField showAll="0"/>
    <pivotField axis="axisRow" showAll="0">
      <items count="5">
        <item x="0"/>
        <item x="3"/>
        <item x="1"/>
        <item x="2"/>
        <item t="default"/>
      </items>
    </pivotField>
    <pivotField showAll="0"/>
    <pivotField axis="axisRow" showAll="0">
      <items count="9">
        <item x="6"/>
        <item x="4"/>
        <item x="5"/>
        <item x="1"/>
        <item x="2"/>
        <item x="0"/>
        <item x="3"/>
        <item x="7"/>
        <item t="default"/>
      </items>
    </pivotField>
    <pivotField showAll="0"/>
    <pivotField showAll="0"/>
    <pivotField numFmtId="3" showAll="0"/>
    <pivotField numFmtId="165" showAll="0"/>
    <pivotField numFmtId="165" showAll="0"/>
    <pivotField numFmtId="166" showAll="0"/>
    <pivotField numFmtId="165" showAll="0"/>
    <pivotField dataField="1" numFmtId="165" showAll="0"/>
  </pivotFields>
  <rowFields count="2">
    <field x="4"/>
    <field x="6"/>
  </rowFields>
  <rowItems count="37">
    <i>
      <x/>
    </i>
    <i r="1">
      <x/>
    </i>
    <i r="1">
      <x v="1"/>
    </i>
    <i r="1">
      <x v="2"/>
    </i>
    <i r="1">
      <x v="3"/>
    </i>
    <i r="1">
      <x v="4"/>
    </i>
    <i r="1">
      <x v="5"/>
    </i>
    <i r="1">
      <x v="6"/>
    </i>
    <i r="1">
      <x v="7"/>
    </i>
    <i>
      <x v="1"/>
    </i>
    <i r="1">
      <x/>
    </i>
    <i r="1">
      <x v="1"/>
    </i>
    <i r="1">
      <x v="2"/>
    </i>
    <i r="1">
      <x v="3"/>
    </i>
    <i r="1">
      <x v="4"/>
    </i>
    <i r="1">
      <x v="5"/>
    </i>
    <i r="1">
      <x v="6"/>
    </i>
    <i r="1">
      <x v="7"/>
    </i>
    <i>
      <x v="2"/>
    </i>
    <i r="1">
      <x/>
    </i>
    <i r="1">
      <x v="1"/>
    </i>
    <i r="1">
      <x v="2"/>
    </i>
    <i r="1">
      <x v="3"/>
    </i>
    <i r="1">
      <x v="4"/>
    </i>
    <i r="1">
      <x v="5"/>
    </i>
    <i r="1">
      <x v="6"/>
    </i>
    <i r="1">
      <x v="7"/>
    </i>
    <i>
      <x v="3"/>
    </i>
    <i r="1">
      <x/>
    </i>
    <i r="1">
      <x v="1"/>
    </i>
    <i r="1">
      <x v="2"/>
    </i>
    <i r="1">
      <x v="3"/>
    </i>
    <i r="1">
      <x v="4"/>
    </i>
    <i r="1">
      <x v="5"/>
    </i>
    <i r="1">
      <x v="6"/>
    </i>
    <i r="1">
      <x v="7"/>
    </i>
    <i t="grand">
      <x/>
    </i>
  </rowItems>
  <colFields count="1">
    <field x="2"/>
  </colFields>
  <colItems count="4">
    <i>
      <x/>
    </i>
    <i>
      <x v="1"/>
    </i>
    <i>
      <x v="2"/>
    </i>
    <i t="grand">
      <x/>
    </i>
  </colItems>
  <dataFields count="1">
    <dataField name="Sum of Net Sales (PKR)" fld="14"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19677ED-BFF7-40DB-87E8-49E442A1EFEE}"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15">
    <pivotField showAll="0"/>
    <pivotField numFmtId="164" showAll="0"/>
    <pivotField axis="axisRow" numFmtId="1" showAll="0">
      <items count="4">
        <item x="0"/>
        <item x="2"/>
        <item x="1"/>
        <item t="default"/>
      </items>
    </pivotField>
    <pivotField showAll="0"/>
    <pivotField showAll="0"/>
    <pivotField showAll="0"/>
    <pivotField showAll="0"/>
    <pivotField showAll="0"/>
    <pivotField showAll="0"/>
    <pivotField numFmtId="3" showAll="0"/>
    <pivotField numFmtId="165" showAll="0"/>
    <pivotField numFmtId="165" showAll="0"/>
    <pivotField numFmtId="166" showAll="0"/>
    <pivotField numFmtId="165" showAll="0"/>
    <pivotField dataField="1" numFmtId="165" showAll="0"/>
  </pivotFields>
  <rowFields count="1">
    <field x="2"/>
  </rowFields>
  <rowItems count="4">
    <i>
      <x/>
    </i>
    <i>
      <x v="1"/>
    </i>
    <i>
      <x v="2"/>
    </i>
    <i t="grand">
      <x/>
    </i>
  </rowItems>
  <colItems count="1">
    <i/>
  </colItems>
  <dataFields count="1">
    <dataField name="Sum of Net Sales (PKR)" fld="14" baseField="2" baseItem="0" numFmtId="165"/>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2" count="1" selected="0">
            <x v="0"/>
          </reference>
        </references>
      </pivotArea>
    </chartFormat>
    <chartFormat chart="3" format="7">
      <pivotArea type="data" outline="0" fieldPosition="0">
        <references count="2">
          <reference field="4294967294" count="1" selected="0">
            <x v="0"/>
          </reference>
          <reference field="2" count="1" selected="0">
            <x v="1"/>
          </reference>
        </references>
      </pivotArea>
    </chartFormat>
    <chartFormat chart="3" format="8">
      <pivotArea type="data" outline="0" fieldPosition="0">
        <references count="2">
          <reference field="4294967294" count="1" selected="0">
            <x v="0"/>
          </reference>
          <reference field="2" count="1" selected="0">
            <x v="2"/>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4DE30D-CB57-483D-B9DB-3FF06E7DDCC6}"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2" firstHeaderRow="1" firstDataRow="1" firstDataCol="1"/>
  <pivotFields count="15">
    <pivotField showAll="0"/>
    <pivotField numFmtId="164" showAll="0"/>
    <pivotField numFmtId="1" showAll="0">
      <items count="4">
        <item x="0"/>
        <item x="2"/>
        <item x="1"/>
        <item t="default"/>
      </items>
    </pivotField>
    <pivotField showAll="0"/>
    <pivotField showAll="0"/>
    <pivotField showAll="0"/>
    <pivotField axis="axisRow" showAll="0">
      <items count="9">
        <item x="6"/>
        <item x="4"/>
        <item x="5"/>
        <item x="1"/>
        <item x="2"/>
        <item x="0"/>
        <item x="3"/>
        <item x="7"/>
        <item t="default"/>
      </items>
    </pivotField>
    <pivotField showAll="0"/>
    <pivotField showAll="0"/>
    <pivotField numFmtId="3" showAll="0"/>
    <pivotField numFmtId="165" showAll="0"/>
    <pivotField numFmtId="165" showAll="0"/>
    <pivotField numFmtId="166" showAll="0"/>
    <pivotField numFmtId="165" showAll="0"/>
    <pivotField dataField="1" numFmtId="165" showAll="0"/>
  </pivotFields>
  <rowFields count="1">
    <field x="6"/>
  </rowFields>
  <rowItems count="9">
    <i>
      <x/>
    </i>
    <i>
      <x v="1"/>
    </i>
    <i>
      <x v="2"/>
    </i>
    <i>
      <x v="3"/>
    </i>
    <i>
      <x v="4"/>
    </i>
    <i>
      <x v="5"/>
    </i>
    <i>
      <x v="6"/>
    </i>
    <i>
      <x v="7"/>
    </i>
    <i t="grand">
      <x/>
    </i>
  </rowItems>
  <colItems count="1">
    <i/>
  </colItems>
  <dataFields count="1">
    <dataField name="Sum of Net Sales (PKR)" fld="14" baseField="0" baseItem="0" numFmtId="165"/>
  </dataField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67AE131-8D7D-49ED-9025-92FCFB3FE418}"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15">
    <pivotField showAll="0"/>
    <pivotField numFmtId="164" showAll="0"/>
    <pivotField numFmtId="1" showAll="0">
      <items count="4">
        <item x="0"/>
        <item x="2"/>
        <item x="1"/>
        <item t="default"/>
      </items>
    </pivotField>
    <pivotField showAll="0"/>
    <pivotField axis="axisRow" showAll="0">
      <items count="5">
        <item x="0"/>
        <item x="3"/>
        <item x="1"/>
        <item x="2"/>
        <item t="default"/>
      </items>
    </pivotField>
    <pivotField showAll="0"/>
    <pivotField showAll="0"/>
    <pivotField showAll="0"/>
    <pivotField showAll="0"/>
    <pivotField numFmtId="3" showAll="0"/>
    <pivotField numFmtId="165" showAll="0"/>
    <pivotField numFmtId="165" showAll="0"/>
    <pivotField numFmtId="166" showAll="0"/>
    <pivotField numFmtId="165" showAll="0"/>
    <pivotField dataField="1" numFmtId="165" showAll="0"/>
  </pivotFields>
  <rowFields count="1">
    <field x="4"/>
  </rowFields>
  <rowItems count="5">
    <i>
      <x/>
    </i>
    <i>
      <x v="1"/>
    </i>
    <i>
      <x v="2"/>
    </i>
    <i>
      <x v="3"/>
    </i>
    <i t="grand">
      <x/>
    </i>
  </rowItems>
  <colItems count="1">
    <i/>
  </colItems>
  <dataFields count="1">
    <dataField name="Sum of Net Sales (PKR)" fld="14" baseField="0" baseItem="0" numFmtId="165"/>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D2AF4B1-EB03-4C3C-8F1B-942A417F268D}"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14" firstHeaderRow="0" firstDataRow="1" firstDataCol="1"/>
  <pivotFields count="15">
    <pivotField showAll="0"/>
    <pivotField numFmtId="164" showAll="0"/>
    <pivotField numFmtId="1" showAll="0">
      <items count="4">
        <item x="0"/>
        <item x="2"/>
        <item x="1"/>
        <item t="default"/>
      </items>
    </pivotField>
    <pivotField showAll="0"/>
    <pivotField showAll="0"/>
    <pivotField showAll="0"/>
    <pivotField showAll="0"/>
    <pivotField showAll="0"/>
    <pivotField axis="axisRow" showAll="0" measureFilter="1" sortType="descending">
      <items count="139">
        <item x="16"/>
        <item x="110"/>
        <item x="45"/>
        <item x="123"/>
        <item x="133"/>
        <item x="52"/>
        <item x="71"/>
        <item x="115"/>
        <item x="117"/>
        <item x="102"/>
        <item x="15"/>
        <item x="92"/>
        <item x="84"/>
        <item x="103"/>
        <item x="8"/>
        <item x="112"/>
        <item x="36"/>
        <item x="104"/>
        <item x="67"/>
        <item x="49"/>
        <item x="93"/>
        <item x="56"/>
        <item x="91"/>
        <item x="35"/>
        <item x="26"/>
        <item x="51"/>
        <item x="88"/>
        <item x="118"/>
        <item x="70"/>
        <item x="90"/>
        <item x="53"/>
        <item x="0"/>
        <item x="27"/>
        <item x="96"/>
        <item x="34"/>
        <item x="122"/>
        <item x="87"/>
        <item x="65"/>
        <item x="18"/>
        <item x="5"/>
        <item x="50"/>
        <item x="17"/>
        <item x="63"/>
        <item x="75"/>
        <item x="97"/>
        <item x="46"/>
        <item x="38"/>
        <item x="111"/>
        <item x="128"/>
        <item x="101"/>
        <item x="22"/>
        <item x="54"/>
        <item x="14"/>
        <item x="83"/>
        <item x="129"/>
        <item x="43"/>
        <item x="28"/>
        <item x="32"/>
        <item x="66"/>
        <item x="59"/>
        <item x="30"/>
        <item x="41"/>
        <item x="44"/>
        <item x="47"/>
        <item x="100"/>
        <item x="3"/>
        <item x="31"/>
        <item x="78"/>
        <item x="4"/>
        <item x="40"/>
        <item x="130"/>
        <item x="21"/>
        <item x="74"/>
        <item x="60"/>
        <item x="120"/>
        <item x="20"/>
        <item x="33"/>
        <item x="80"/>
        <item x="105"/>
        <item x="6"/>
        <item x="137"/>
        <item x="73"/>
        <item x="19"/>
        <item x="127"/>
        <item x="2"/>
        <item x="77"/>
        <item x="48"/>
        <item x="135"/>
        <item x="134"/>
        <item x="69"/>
        <item x="42"/>
        <item x="25"/>
        <item x="39"/>
        <item x="125"/>
        <item x="76"/>
        <item x="136"/>
        <item x="61"/>
        <item x="82"/>
        <item x="94"/>
        <item x="107"/>
        <item x="119"/>
        <item x="89"/>
        <item x="68"/>
        <item x="57"/>
        <item x="23"/>
        <item x="72"/>
        <item x="114"/>
        <item x="1"/>
        <item x="106"/>
        <item x="11"/>
        <item x="29"/>
        <item x="62"/>
        <item x="81"/>
        <item x="116"/>
        <item x="13"/>
        <item x="113"/>
        <item x="7"/>
        <item x="58"/>
        <item x="124"/>
        <item x="79"/>
        <item x="121"/>
        <item x="85"/>
        <item x="55"/>
        <item x="126"/>
        <item x="9"/>
        <item x="131"/>
        <item x="10"/>
        <item x="86"/>
        <item x="12"/>
        <item x="109"/>
        <item x="99"/>
        <item x="95"/>
        <item x="64"/>
        <item x="108"/>
        <item x="132"/>
        <item x="98"/>
        <item x="24"/>
        <item x="37"/>
        <item t="default"/>
      </items>
      <autoSortScope>
        <pivotArea dataOnly="0" outline="0" fieldPosition="0">
          <references count="1">
            <reference field="4294967294" count="1" selected="0">
              <x v="1"/>
            </reference>
          </references>
        </pivotArea>
      </autoSortScope>
    </pivotField>
    <pivotField dataField="1" numFmtId="3" showAll="0"/>
    <pivotField numFmtId="165" showAll="0"/>
    <pivotField numFmtId="165" showAll="0"/>
    <pivotField numFmtId="166" showAll="0"/>
    <pivotField numFmtId="165" showAll="0"/>
    <pivotField dataField="1" numFmtId="165" showAll="0"/>
  </pivotFields>
  <rowFields count="1">
    <field x="8"/>
  </rowFields>
  <rowItems count="11">
    <i>
      <x v="102"/>
    </i>
    <i>
      <x v="89"/>
    </i>
    <i>
      <x v="71"/>
    </i>
    <i>
      <x v="130"/>
    </i>
    <i>
      <x v="11"/>
    </i>
    <i>
      <x v="111"/>
    </i>
    <i>
      <x v="90"/>
    </i>
    <i>
      <x v="107"/>
    </i>
    <i>
      <x v="136"/>
    </i>
    <i>
      <x v="1"/>
    </i>
    <i t="grand">
      <x/>
    </i>
  </rowItems>
  <colFields count="1">
    <field x="-2"/>
  </colFields>
  <colItems count="2">
    <i>
      <x/>
    </i>
    <i i="1">
      <x v="1"/>
    </i>
  </colItems>
  <dataFields count="2">
    <dataField name="Sum of Quantity" fld="9" baseField="0" baseItem="0" numFmtId="3"/>
    <dataField name="Sum of Net Sales (PKR)" fld="14" baseField="0" baseItem="0" numFmtId="165"/>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8" type="count" evalOrder="-1" id="1" iMeasureFld="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23C1613-EDE6-41A3-BC92-12C37C8AC8FA}"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15">
    <pivotField dataField="1" showAll="0"/>
    <pivotField numFmtId="164" showAll="0"/>
    <pivotField numFmtId="1" showAll="0">
      <items count="4">
        <item x="0"/>
        <item x="2"/>
        <item x="1"/>
        <item t="default"/>
      </items>
    </pivotField>
    <pivotField showAll="0"/>
    <pivotField showAll="0"/>
    <pivotField showAll="0"/>
    <pivotField showAll="0"/>
    <pivotField showAll="0"/>
    <pivotField showAll="0" sortType="descending">
      <items count="139">
        <item x="16"/>
        <item x="110"/>
        <item x="45"/>
        <item x="123"/>
        <item x="133"/>
        <item x="52"/>
        <item x="71"/>
        <item x="115"/>
        <item x="117"/>
        <item x="102"/>
        <item x="15"/>
        <item x="92"/>
        <item x="84"/>
        <item x="103"/>
        <item x="8"/>
        <item x="112"/>
        <item x="36"/>
        <item x="104"/>
        <item x="67"/>
        <item x="49"/>
        <item x="93"/>
        <item x="56"/>
        <item x="91"/>
        <item x="35"/>
        <item x="26"/>
        <item x="51"/>
        <item x="88"/>
        <item x="118"/>
        <item x="70"/>
        <item x="90"/>
        <item x="53"/>
        <item x="0"/>
        <item x="27"/>
        <item x="96"/>
        <item x="34"/>
        <item x="122"/>
        <item x="87"/>
        <item x="65"/>
        <item x="18"/>
        <item x="5"/>
        <item x="50"/>
        <item x="17"/>
        <item x="63"/>
        <item x="75"/>
        <item x="97"/>
        <item x="46"/>
        <item x="38"/>
        <item x="111"/>
        <item x="128"/>
        <item x="101"/>
        <item x="22"/>
        <item x="54"/>
        <item x="14"/>
        <item x="83"/>
        <item x="129"/>
        <item x="43"/>
        <item x="28"/>
        <item x="32"/>
        <item x="66"/>
        <item x="59"/>
        <item x="30"/>
        <item x="41"/>
        <item x="44"/>
        <item x="47"/>
        <item x="100"/>
        <item x="3"/>
        <item x="31"/>
        <item x="78"/>
        <item x="4"/>
        <item x="40"/>
        <item x="130"/>
        <item x="21"/>
        <item x="74"/>
        <item x="60"/>
        <item x="120"/>
        <item x="20"/>
        <item x="33"/>
        <item x="80"/>
        <item x="105"/>
        <item x="6"/>
        <item x="137"/>
        <item x="73"/>
        <item x="19"/>
        <item x="127"/>
        <item x="2"/>
        <item x="77"/>
        <item x="48"/>
        <item x="135"/>
        <item x="134"/>
        <item x="69"/>
        <item x="42"/>
        <item x="25"/>
        <item x="39"/>
        <item x="125"/>
        <item x="76"/>
        <item x="136"/>
        <item x="61"/>
        <item x="82"/>
        <item x="94"/>
        <item x="107"/>
        <item x="119"/>
        <item x="89"/>
        <item x="68"/>
        <item x="57"/>
        <item x="23"/>
        <item x="72"/>
        <item x="114"/>
        <item x="1"/>
        <item x="106"/>
        <item x="11"/>
        <item x="29"/>
        <item x="62"/>
        <item x="81"/>
        <item x="116"/>
        <item x="13"/>
        <item x="113"/>
        <item x="7"/>
        <item x="58"/>
        <item x="124"/>
        <item x="79"/>
        <item x="121"/>
        <item x="85"/>
        <item x="55"/>
        <item x="126"/>
        <item x="9"/>
        <item x="131"/>
        <item x="10"/>
        <item x="86"/>
        <item x="12"/>
        <item x="109"/>
        <item x="99"/>
        <item x="95"/>
        <item x="64"/>
        <item x="108"/>
        <item x="132"/>
        <item x="98"/>
        <item x="24"/>
        <item x="37"/>
        <item t="default"/>
      </items>
      <autoSortScope>
        <pivotArea dataOnly="0" outline="0" fieldPosition="0">
          <references count="1">
            <reference field="4294967294" count="1" selected="0">
              <x v="1"/>
            </reference>
          </references>
        </pivotArea>
      </autoSortScope>
    </pivotField>
    <pivotField numFmtId="3" showAll="0"/>
    <pivotField numFmtId="165" showAll="0"/>
    <pivotField numFmtId="165" showAll="0"/>
    <pivotField numFmtId="166" showAll="0">
      <items count="179">
        <item x="0"/>
        <item x="152"/>
        <item x="125"/>
        <item x="42"/>
        <item x="97"/>
        <item x="70"/>
        <item x="78"/>
        <item x="5"/>
        <item x="104"/>
        <item x="37"/>
        <item x="64"/>
        <item x="66"/>
        <item x="96"/>
        <item x="103"/>
        <item x="33"/>
        <item x="47"/>
        <item x="20"/>
        <item x="16"/>
        <item x="82"/>
        <item x="111"/>
        <item x="75"/>
        <item x="43"/>
        <item x="120"/>
        <item x="40"/>
        <item x="27"/>
        <item x="84"/>
        <item x="3"/>
        <item x="48"/>
        <item x="56"/>
        <item x="171"/>
        <item x="13"/>
        <item x="148"/>
        <item x="116"/>
        <item x="11"/>
        <item x="118"/>
        <item x="80"/>
        <item x="169"/>
        <item x="45"/>
        <item x="38"/>
        <item x="101"/>
        <item x="107"/>
        <item x="128"/>
        <item x="32"/>
        <item x="124"/>
        <item x="141"/>
        <item x="57"/>
        <item x="10"/>
        <item x="30"/>
        <item x="17"/>
        <item x="36"/>
        <item x="150"/>
        <item x="65"/>
        <item x="136"/>
        <item x="62"/>
        <item x="93"/>
        <item x="166"/>
        <item x="52"/>
        <item x="139"/>
        <item x="142"/>
        <item x="154"/>
        <item x="73"/>
        <item x="91"/>
        <item x="99"/>
        <item x="76"/>
        <item x="145"/>
        <item x="72"/>
        <item x="18"/>
        <item x="137"/>
        <item x="131"/>
        <item x="35"/>
        <item x="51"/>
        <item x="34"/>
        <item x="119"/>
        <item x="2"/>
        <item x="12"/>
        <item x="147"/>
        <item x="69"/>
        <item x="26"/>
        <item x="164"/>
        <item x="146"/>
        <item x="74"/>
        <item x="41"/>
        <item x="174"/>
        <item x="160"/>
        <item x="28"/>
        <item x="138"/>
        <item x="55"/>
        <item x="133"/>
        <item x="19"/>
        <item x="114"/>
        <item x="86"/>
        <item x="63"/>
        <item x="129"/>
        <item x="8"/>
        <item x="159"/>
        <item x="95"/>
        <item x="14"/>
        <item x="83"/>
        <item x="53"/>
        <item x="54"/>
        <item x="109"/>
        <item x="29"/>
        <item x="68"/>
        <item x="122"/>
        <item x="113"/>
        <item x="168"/>
        <item x="9"/>
        <item x="173"/>
        <item x="130"/>
        <item x="126"/>
        <item x="115"/>
        <item x="163"/>
        <item x="155"/>
        <item x="170"/>
        <item x="7"/>
        <item x="87"/>
        <item x="135"/>
        <item x="149"/>
        <item x="110"/>
        <item x="94"/>
        <item x="39"/>
        <item x="58"/>
        <item x="6"/>
        <item x="161"/>
        <item x="50"/>
        <item x="81"/>
        <item x="67"/>
        <item x="1"/>
        <item x="59"/>
        <item x="25"/>
        <item x="121"/>
        <item x="177"/>
        <item x="162"/>
        <item x="85"/>
        <item x="46"/>
        <item x="134"/>
        <item x="144"/>
        <item x="157"/>
        <item x="77"/>
        <item x="175"/>
        <item x="165"/>
        <item x="151"/>
        <item x="156"/>
        <item x="23"/>
        <item x="90"/>
        <item x="89"/>
        <item x="158"/>
        <item x="22"/>
        <item x="132"/>
        <item x="4"/>
        <item x="49"/>
        <item x="172"/>
        <item x="176"/>
        <item x="106"/>
        <item x="79"/>
        <item x="21"/>
        <item x="123"/>
        <item x="127"/>
        <item x="100"/>
        <item x="117"/>
        <item x="143"/>
        <item x="140"/>
        <item x="61"/>
        <item x="112"/>
        <item x="88"/>
        <item x="24"/>
        <item x="71"/>
        <item x="92"/>
        <item x="108"/>
        <item x="105"/>
        <item x="102"/>
        <item x="60"/>
        <item x="98"/>
        <item x="167"/>
        <item x="44"/>
        <item x="153"/>
        <item x="15"/>
        <item x="31"/>
        <item t="default"/>
      </items>
    </pivotField>
    <pivotField dataField="1" numFmtId="165" showAll="0"/>
    <pivotField dataField="1" numFmtId="165" showAll="0"/>
  </pivotFields>
  <rowItems count="1">
    <i/>
  </rowItems>
  <colFields count="1">
    <field x="-2"/>
  </colFields>
  <colItems count="3">
    <i>
      <x/>
    </i>
    <i i="1">
      <x v="1"/>
    </i>
    <i i="2">
      <x v="2"/>
    </i>
  </colItems>
  <dataFields count="3">
    <dataField name="Count of Transaction ID" fld="0" subtotal="count" baseField="0" baseItem="0"/>
    <dataField name="Sum of Discount Amount (PKR)" fld="13" baseField="0" baseItem="0" numFmtId="165"/>
    <dataField name="Sum of Net Sales (PKR)" fld="14"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1546DFE-4C44-4C09-87F4-E389C23B23DC}" sourceName="Year">
  <pivotTables>
    <pivotTable tabId="4" name="PivotTable2"/>
    <pivotTable tabId="6" name="PivotTable4"/>
    <pivotTable tabId="5" name="PivotTable3"/>
    <pivotTable tabId="3" name="PivotTable1"/>
    <pivotTable tabId="10" name="PivotTable6"/>
    <pivotTable tabId="7" name="PivotTable5"/>
  </pivotTables>
  <data>
    <tabular pivotCacheId="207457175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C6E531DA-DCFD-408A-8338-259D68FEAB7E}" cache="Slicer_Year" caption="Year" rowHeight="241300"/>
</slicer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20D7E-5969-48AE-9856-722B7437800F}">
  <dimension ref="A3:E41"/>
  <sheetViews>
    <sheetView workbookViewId="0">
      <selection activeCell="A3" sqref="A3"/>
    </sheetView>
  </sheetViews>
  <sheetFormatPr defaultRowHeight="14.5"/>
  <cols>
    <col min="1" max="1" width="21.36328125" bestFit="1" customWidth="1"/>
    <col min="2" max="2" width="15.26953125" bestFit="1" customWidth="1"/>
    <col min="3" max="5" width="12.6328125" bestFit="1" customWidth="1"/>
  </cols>
  <sheetData>
    <row r="3" spans="1:5">
      <c r="A3" s="15" t="s">
        <v>1215</v>
      </c>
      <c r="B3" s="15" t="s">
        <v>1218</v>
      </c>
    </row>
    <row r="4" spans="1:5">
      <c r="A4" s="15" t="s">
        <v>1216</v>
      </c>
      <c r="B4" s="18">
        <v>2023</v>
      </c>
      <c r="C4" s="18">
        <v>2024</v>
      </c>
      <c r="D4" s="18">
        <v>2025</v>
      </c>
      <c r="E4" s="18" t="s">
        <v>1217</v>
      </c>
    </row>
    <row r="5" spans="1:5">
      <c r="A5" s="16" t="s">
        <v>17</v>
      </c>
      <c r="B5" s="14">
        <v>676507.95999999985</v>
      </c>
      <c r="C5" s="14">
        <v>801306.75</v>
      </c>
      <c r="D5" s="14">
        <v>666232.55000000005</v>
      </c>
      <c r="E5" s="14">
        <v>2144047.2599999998</v>
      </c>
    </row>
    <row r="6" spans="1:5">
      <c r="A6" s="17" t="s">
        <v>57</v>
      </c>
      <c r="B6" s="14">
        <v>29250.1</v>
      </c>
      <c r="C6" s="14">
        <v>52466.8</v>
      </c>
      <c r="D6" s="14">
        <v>38503.300000000003</v>
      </c>
      <c r="E6" s="14">
        <v>120220.2</v>
      </c>
    </row>
    <row r="7" spans="1:5">
      <c r="A7" s="17" t="s">
        <v>44</v>
      </c>
      <c r="B7" s="14">
        <v>44348.899999999994</v>
      </c>
      <c r="C7" s="14">
        <v>19726.54</v>
      </c>
      <c r="D7" s="14">
        <v>22724.84</v>
      </c>
      <c r="E7" s="14">
        <v>86800.28</v>
      </c>
    </row>
    <row r="8" spans="1:5">
      <c r="A8" s="17" t="s">
        <v>53</v>
      </c>
      <c r="B8" s="14">
        <v>30122.47</v>
      </c>
      <c r="C8" s="14">
        <v>12266.35</v>
      </c>
      <c r="D8" s="14">
        <v>62575.199999999997</v>
      </c>
      <c r="E8" s="14">
        <v>104964.01999999999</v>
      </c>
    </row>
    <row r="9" spans="1:5">
      <c r="A9" s="17" t="s">
        <v>26</v>
      </c>
      <c r="B9" s="14">
        <v>419510</v>
      </c>
      <c r="C9" s="14">
        <v>586562.5</v>
      </c>
      <c r="D9" s="14">
        <v>355809.7</v>
      </c>
      <c r="E9" s="14">
        <v>1361882.2</v>
      </c>
    </row>
    <row r="10" spans="1:5">
      <c r="A10" s="17" t="s">
        <v>31</v>
      </c>
      <c r="B10" s="14">
        <v>46767.44</v>
      </c>
      <c r="C10" s="14">
        <v>19496.2</v>
      </c>
      <c r="D10" s="14">
        <v>16731.660000000003</v>
      </c>
      <c r="E10" s="14">
        <v>82995.3</v>
      </c>
    </row>
    <row r="11" spans="1:5">
      <c r="A11" s="17" t="s">
        <v>19</v>
      </c>
      <c r="B11" s="14">
        <v>42681.600000000006</v>
      </c>
      <c r="C11" s="14">
        <v>65686.509999999995</v>
      </c>
      <c r="D11" s="14">
        <v>81035</v>
      </c>
      <c r="E11" s="14">
        <v>189403.11</v>
      </c>
    </row>
    <row r="12" spans="1:5">
      <c r="A12" s="17" t="s">
        <v>37</v>
      </c>
      <c r="B12" s="14">
        <v>25013</v>
      </c>
      <c r="C12" s="14">
        <v>26689.679999999997</v>
      </c>
      <c r="D12" s="14">
        <v>37397.649999999994</v>
      </c>
      <c r="E12" s="14">
        <v>89100.329999999987</v>
      </c>
    </row>
    <row r="13" spans="1:5">
      <c r="A13" s="17" t="s">
        <v>64</v>
      </c>
      <c r="B13" s="14">
        <v>38814.449999999997</v>
      </c>
      <c r="C13" s="14">
        <v>18412.169999999998</v>
      </c>
      <c r="D13" s="14">
        <v>51455.199999999997</v>
      </c>
      <c r="E13" s="14">
        <v>108681.81999999999</v>
      </c>
    </row>
    <row r="14" spans="1:5">
      <c r="A14" s="16" t="s">
        <v>42</v>
      </c>
      <c r="B14" s="14">
        <v>688668.83000000007</v>
      </c>
      <c r="C14" s="14">
        <v>672944.67</v>
      </c>
      <c r="D14" s="14">
        <v>782835.67999999993</v>
      </c>
      <c r="E14" s="14">
        <v>2144449.1799999997</v>
      </c>
    </row>
    <row r="15" spans="1:5">
      <c r="A15" s="17" t="s">
        <v>57</v>
      </c>
      <c r="B15" s="14">
        <v>52454.350000000006</v>
      </c>
      <c r="C15" s="14">
        <v>67364.55</v>
      </c>
      <c r="D15" s="14">
        <v>51367.95</v>
      </c>
      <c r="E15" s="14">
        <v>171186.85</v>
      </c>
    </row>
    <row r="16" spans="1:5">
      <c r="A16" s="17" t="s">
        <v>44</v>
      </c>
      <c r="B16" s="14">
        <v>28780.94</v>
      </c>
      <c r="C16" s="14">
        <v>51102</v>
      </c>
      <c r="D16" s="14">
        <v>64853.8</v>
      </c>
      <c r="E16" s="14">
        <v>144736.74</v>
      </c>
    </row>
    <row r="17" spans="1:5">
      <c r="A17" s="17" t="s">
        <v>53</v>
      </c>
      <c r="B17" s="14">
        <v>24020.799999999999</v>
      </c>
      <c r="C17" s="14">
        <v>39349.199999999997</v>
      </c>
      <c r="D17" s="14">
        <v>22980.7</v>
      </c>
      <c r="E17" s="14">
        <v>86350.7</v>
      </c>
    </row>
    <row r="18" spans="1:5">
      <c r="A18" s="17" t="s">
        <v>26</v>
      </c>
      <c r="B18" s="14">
        <v>399558</v>
      </c>
      <c r="C18" s="14">
        <v>372956</v>
      </c>
      <c r="D18" s="14">
        <v>472429.95</v>
      </c>
      <c r="E18" s="14">
        <v>1244943.95</v>
      </c>
    </row>
    <row r="19" spans="1:5">
      <c r="A19" s="17" t="s">
        <v>31</v>
      </c>
      <c r="B19" s="14">
        <v>65477.68</v>
      </c>
      <c r="C19" s="14">
        <v>19759.530000000002</v>
      </c>
      <c r="D19" s="14">
        <v>12791.6</v>
      </c>
      <c r="E19" s="14">
        <v>98028.810000000012</v>
      </c>
    </row>
    <row r="20" spans="1:5">
      <c r="A20" s="17" t="s">
        <v>19</v>
      </c>
      <c r="B20" s="14">
        <v>56982.549999999996</v>
      </c>
      <c r="C20" s="14">
        <v>73927.14</v>
      </c>
      <c r="D20" s="14">
        <v>81323.199999999997</v>
      </c>
      <c r="E20" s="14">
        <v>212232.89</v>
      </c>
    </row>
    <row r="21" spans="1:5">
      <c r="A21" s="17" t="s">
        <v>37</v>
      </c>
      <c r="B21" s="14">
        <v>33493.35</v>
      </c>
      <c r="C21" s="14">
        <v>29410.350000000002</v>
      </c>
      <c r="D21" s="14">
        <v>16076</v>
      </c>
      <c r="E21" s="14">
        <v>78979.7</v>
      </c>
    </row>
    <row r="22" spans="1:5">
      <c r="A22" s="17" t="s">
        <v>64</v>
      </c>
      <c r="B22" s="14">
        <v>27901.16</v>
      </c>
      <c r="C22" s="14">
        <v>19075.900000000001</v>
      </c>
      <c r="D22" s="14">
        <v>61012.480000000003</v>
      </c>
      <c r="E22" s="14">
        <v>107989.54000000001</v>
      </c>
    </row>
    <row r="23" spans="1:5">
      <c r="A23" s="16" t="s">
        <v>24</v>
      </c>
      <c r="B23" s="14">
        <v>631497.92000000016</v>
      </c>
      <c r="C23" s="14">
        <v>659423.26</v>
      </c>
      <c r="D23" s="14">
        <v>586401.23</v>
      </c>
      <c r="E23" s="14">
        <v>1877322.4100000001</v>
      </c>
    </row>
    <row r="24" spans="1:5">
      <c r="A24" s="17" t="s">
        <v>57</v>
      </c>
      <c r="B24" s="14">
        <v>41288.400000000001</v>
      </c>
      <c r="C24" s="14">
        <v>12100</v>
      </c>
      <c r="D24" s="14">
        <v>38451.5</v>
      </c>
      <c r="E24" s="14">
        <v>91839.9</v>
      </c>
    </row>
    <row r="25" spans="1:5">
      <c r="A25" s="17" t="s">
        <v>44</v>
      </c>
      <c r="B25" s="14">
        <v>46422.94</v>
      </c>
      <c r="C25" s="14">
        <v>34595.1</v>
      </c>
      <c r="D25" s="14">
        <v>13655.7</v>
      </c>
      <c r="E25" s="14">
        <v>94673.74</v>
      </c>
    </row>
    <row r="26" spans="1:5">
      <c r="A26" s="17" t="s">
        <v>53</v>
      </c>
      <c r="B26" s="14">
        <v>27046.799999999999</v>
      </c>
      <c r="C26" s="14">
        <v>23052.95</v>
      </c>
      <c r="D26" s="14">
        <v>32991.75</v>
      </c>
      <c r="E26" s="14">
        <v>83091.5</v>
      </c>
    </row>
    <row r="27" spans="1:5">
      <c r="A27" s="17" t="s">
        <v>26</v>
      </c>
      <c r="B27" s="14">
        <v>392662</v>
      </c>
      <c r="C27" s="14">
        <v>397303</v>
      </c>
      <c r="D27" s="14">
        <v>383127</v>
      </c>
      <c r="E27" s="14">
        <v>1173092</v>
      </c>
    </row>
    <row r="28" spans="1:5">
      <c r="A28" s="17" t="s">
        <v>31</v>
      </c>
      <c r="B28" s="14">
        <v>36761.800000000003</v>
      </c>
      <c r="C28" s="14">
        <v>48139.41</v>
      </c>
      <c r="D28" s="14">
        <v>6431</v>
      </c>
      <c r="E28" s="14">
        <v>91332.21</v>
      </c>
    </row>
    <row r="29" spans="1:5">
      <c r="A29" s="17" t="s">
        <v>19</v>
      </c>
      <c r="B29" s="14">
        <v>40253.930000000008</v>
      </c>
      <c r="C29" s="14">
        <v>42307.850000000006</v>
      </c>
      <c r="D29" s="14">
        <v>47974.3</v>
      </c>
      <c r="E29" s="14">
        <v>130536.08000000002</v>
      </c>
    </row>
    <row r="30" spans="1:5">
      <c r="A30" s="17" t="s">
        <v>37</v>
      </c>
      <c r="B30" s="14">
        <v>17109.5</v>
      </c>
      <c r="C30" s="14">
        <v>51907.649999999994</v>
      </c>
      <c r="D30" s="14">
        <v>23280.9</v>
      </c>
      <c r="E30" s="14">
        <v>92298.049999999988</v>
      </c>
    </row>
    <row r="31" spans="1:5">
      <c r="A31" s="17" t="s">
        <v>64</v>
      </c>
      <c r="B31" s="14">
        <v>29952.55</v>
      </c>
      <c r="C31" s="14">
        <v>50017.299999999996</v>
      </c>
      <c r="D31" s="14">
        <v>40489.08</v>
      </c>
      <c r="E31" s="14">
        <v>120458.93</v>
      </c>
    </row>
    <row r="32" spans="1:5">
      <c r="A32" s="16" t="s">
        <v>35</v>
      </c>
      <c r="B32" s="14">
        <v>964668.72</v>
      </c>
      <c r="C32" s="14">
        <v>794797.99</v>
      </c>
      <c r="D32" s="14">
        <v>806921.33999999985</v>
      </c>
      <c r="E32" s="14">
        <v>2566388.0500000003</v>
      </c>
    </row>
    <row r="33" spans="1:5">
      <c r="A33" s="17" t="s">
        <v>57</v>
      </c>
      <c r="B33" s="14">
        <v>39143.350000000006</v>
      </c>
      <c r="C33" s="14">
        <v>13200</v>
      </c>
      <c r="D33" s="14">
        <v>29771.85</v>
      </c>
      <c r="E33" s="14">
        <v>82115.200000000012</v>
      </c>
    </row>
    <row r="34" spans="1:5">
      <c r="A34" s="17" t="s">
        <v>44</v>
      </c>
      <c r="B34" s="14">
        <v>41296.81</v>
      </c>
      <c r="C34" s="14">
        <v>19020</v>
      </c>
      <c r="D34" s="14">
        <v>43680.04</v>
      </c>
      <c r="E34" s="14">
        <v>103996.85</v>
      </c>
    </row>
    <row r="35" spans="1:5">
      <c r="A35" s="17" t="s">
        <v>53</v>
      </c>
      <c r="B35" s="14">
        <v>26670.25</v>
      </c>
      <c r="C35" s="14">
        <v>24462.52</v>
      </c>
      <c r="D35" s="14">
        <v>29300</v>
      </c>
      <c r="E35" s="14">
        <v>80432.77</v>
      </c>
    </row>
    <row r="36" spans="1:5">
      <c r="A36" s="17" t="s">
        <v>26</v>
      </c>
      <c r="B36" s="14">
        <v>703920.05</v>
      </c>
      <c r="C36" s="14">
        <v>576104.5</v>
      </c>
      <c r="D36" s="14">
        <v>524000</v>
      </c>
      <c r="E36" s="14">
        <v>1804024.55</v>
      </c>
    </row>
    <row r="37" spans="1:5">
      <c r="A37" s="17" t="s">
        <v>31</v>
      </c>
      <c r="B37" s="14">
        <v>29036.489999999998</v>
      </c>
      <c r="C37" s="14">
        <v>22968.32</v>
      </c>
      <c r="D37" s="14">
        <v>28640.7</v>
      </c>
      <c r="E37" s="14">
        <v>80645.509999999995</v>
      </c>
    </row>
    <row r="38" spans="1:5">
      <c r="A38" s="17" t="s">
        <v>19</v>
      </c>
      <c r="B38" s="14">
        <v>63747.32</v>
      </c>
      <c r="C38" s="14">
        <v>67390.75</v>
      </c>
      <c r="D38" s="14">
        <v>73192.549999999988</v>
      </c>
      <c r="E38" s="14">
        <v>204330.62</v>
      </c>
    </row>
    <row r="39" spans="1:5">
      <c r="A39" s="17" t="s">
        <v>37</v>
      </c>
      <c r="B39" s="14">
        <v>27611.200000000001</v>
      </c>
      <c r="C39" s="14">
        <v>32399.4</v>
      </c>
      <c r="D39" s="14">
        <v>29898</v>
      </c>
      <c r="E39" s="14">
        <v>89908.6</v>
      </c>
    </row>
    <row r="40" spans="1:5">
      <c r="A40" s="17" t="s">
        <v>64</v>
      </c>
      <c r="B40" s="14">
        <v>33243.25</v>
      </c>
      <c r="C40" s="14">
        <v>39252.5</v>
      </c>
      <c r="D40" s="14">
        <v>48438.2</v>
      </c>
      <c r="E40" s="14">
        <v>120933.95</v>
      </c>
    </row>
    <row r="41" spans="1:5">
      <c r="A41" s="16" t="s">
        <v>1217</v>
      </c>
      <c r="B41" s="14">
        <v>2961343.43</v>
      </c>
      <c r="C41" s="14">
        <v>2928472.6699999995</v>
      </c>
      <c r="D41" s="14">
        <v>2842390.8000000003</v>
      </c>
      <c r="E41" s="14">
        <v>8732206.8999999985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F0320-6DC7-481B-A2F9-A0DF4AC7EE96}">
  <dimension ref="A3:B7"/>
  <sheetViews>
    <sheetView workbookViewId="0">
      <selection activeCell="M11" sqref="M11"/>
    </sheetView>
  </sheetViews>
  <sheetFormatPr defaultRowHeight="14.5"/>
  <cols>
    <col min="1" max="1" width="12.36328125" bestFit="1" customWidth="1"/>
    <col min="2" max="2" width="19.90625" bestFit="1" customWidth="1"/>
  </cols>
  <sheetData>
    <row r="3" spans="1:2">
      <c r="A3" s="15" t="s">
        <v>1216</v>
      </c>
      <c r="B3" t="s">
        <v>1215</v>
      </c>
    </row>
    <row r="4" spans="1:2">
      <c r="A4" s="19">
        <v>2023</v>
      </c>
      <c r="B4" s="14">
        <v>2961343.4299999997</v>
      </c>
    </row>
    <row r="5" spans="1:2">
      <c r="A5" s="19">
        <v>2024</v>
      </c>
      <c r="B5" s="14">
        <v>2928472.669999999</v>
      </c>
    </row>
    <row r="6" spans="1:2">
      <c r="A6" s="19">
        <v>2025</v>
      </c>
      <c r="B6" s="14">
        <v>2842390.8000000007</v>
      </c>
    </row>
    <row r="7" spans="1:2">
      <c r="A7" s="19" t="s">
        <v>1217</v>
      </c>
      <c r="B7" s="14">
        <v>8732206.8999999985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268FC-6149-467B-B014-9606BD6A1884}">
  <dimension ref="A1"/>
  <sheetViews>
    <sheetView workbookViewId="0"/>
  </sheetViews>
  <sheetFormatPr defaultRowHeight="14.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CB5E2-1615-4239-9F0E-5F01FFD9E338}">
  <dimension ref="A3:B12"/>
  <sheetViews>
    <sheetView workbookViewId="0">
      <selection activeCell="L8" sqref="L8"/>
    </sheetView>
  </sheetViews>
  <sheetFormatPr defaultRowHeight="14.5"/>
  <cols>
    <col min="1" max="1" width="12.6328125" bestFit="1" customWidth="1"/>
    <col min="2" max="2" width="19.90625" bestFit="1" customWidth="1"/>
  </cols>
  <sheetData>
    <row r="3" spans="1:2">
      <c r="A3" s="15" t="s">
        <v>1216</v>
      </c>
      <c r="B3" t="s">
        <v>1215</v>
      </c>
    </row>
    <row r="4" spans="1:2">
      <c r="A4" s="16" t="s">
        <v>57</v>
      </c>
      <c r="B4" s="14">
        <v>465362.14999999997</v>
      </c>
    </row>
    <row r="5" spans="1:2">
      <c r="A5" s="16" t="s">
        <v>44</v>
      </c>
      <c r="B5" s="14">
        <v>430207.61</v>
      </c>
    </row>
    <row r="6" spans="1:2">
      <c r="A6" s="16" t="s">
        <v>53</v>
      </c>
      <c r="B6" s="14">
        <v>354838.98999999993</v>
      </c>
    </row>
    <row r="7" spans="1:2">
      <c r="A7" s="16" t="s">
        <v>26</v>
      </c>
      <c r="B7" s="14">
        <v>5583942.7000000002</v>
      </c>
    </row>
    <row r="8" spans="1:2">
      <c r="A8" s="16" t="s">
        <v>31</v>
      </c>
      <c r="B8" s="14">
        <v>353001.83</v>
      </c>
    </row>
    <row r="9" spans="1:2">
      <c r="A9" s="16" t="s">
        <v>19</v>
      </c>
      <c r="B9" s="14">
        <v>736502.70000000019</v>
      </c>
    </row>
    <row r="10" spans="1:2">
      <c r="A10" s="16" t="s">
        <v>37</v>
      </c>
      <c r="B10" s="14">
        <v>350286.68000000005</v>
      </c>
    </row>
    <row r="11" spans="1:2">
      <c r="A11" s="16" t="s">
        <v>64</v>
      </c>
      <c r="B11" s="14">
        <v>458064.23999999982</v>
      </c>
    </row>
    <row r="12" spans="1:2">
      <c r="A12" s="16" t="s">
        <v>1217</v>
      </c>
      <c r="B12" s="14">
        <v>8732206.9000000004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FC390-E09C-45F5-9507-D252E93E9609}">
  <dimension ref="A3:B8"/>
  <sheetViews>
    <sheetView workbookViewId="0">
      <selection activeCell="D18" sqref="D18"/>
    </sheetView>
  </sheetViews>
  <sheetFormatPr defaultRowHeight="14.5"/>
  <cols>
    <col min="1" max="1" width="19.453125" bestFit="1" customWidth="1"/>
    <col min="2" max="2" width="19.90625" bestFit="1" customWidth="1"/>
  </cols>
  <sheetData>
    <row r="3" spans="1:2">
      <c r="A3" s="15" t="s">
        <v>1216</v>
      </c>
      <c r="B3" t="s">
        <v>1215</v>
      </c>
    </row>
    <row r="4" spans="1:2">
      <c r="A4" s="16" t="s">
        <v>17</v>
      </c>
      <c r="B4" s="14">
        <v>2144047.2600000002</v>
      </c>
    </row>
    <row r="5" spans="1:2">
      <c r="A5" s="16" t="s">
        <v>42</v>
      </c>
      <c r="B5" s="14">
        <v>2144449.1799999997</v>
      </c>
    </row>
    <row r="6" spans="1:2">
      <c r="A6" s="16" t="s">
        <v>24</v>
      </c>
      <c r="B6" s="14">
        <v>1877322.4100000001</v>
      </c>
    </row>
    <row r="7" spans="1:2">
      <c r="A7" s="16" t="s">
        <v>35</v>
      </c>
      <c r="B7" s="14">
        <v>2566388.0499999998</v>
      </c>
    </row>
    <row r="8" spans="1:2">
      <c r="A8" s="16" t="s">
        <v>1217</v>
      </c>
      <c r="B8" s="14">
        <v>8732206.8999999985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6AFFE-2BE8-405F-8AE3-419A5D58C405}">
  <dimension ref="A3:C14"/>
  <sheetViews>
    <sheetView workbookViewId="0">
      <selection activeCell="B4" sqref="B4"/>
    </sheetView>
  </sheetViews>
  <sheetFormatPr defaultRowHeight="14.5"/>
  <cols>
    <col min="1" max="1" width="16.1796875" bestFit="1" customWidth="1"/>
    <col min="2" max="2" width="14.54296875" bestFit="1" customWidth="1"/>
    <col min="3" max="3" width="19.90625" bestFit="1" customWidth="1"/>
  </cols>
  <sheetData>
    <row r="3" spans="1:3">
      <c r="A3" s="15" t="s">
        <v>1216</v>
      </c>
      <c r="B3" t="s">
        <v>1219</v>
      </c>
      <c r="C3" t="s">
        <v>1215</v>
      </c>
    </row>
    <row r="4" spans="1:3">
      <c r="A4" s="16" t="s">
        <v>235</v>
      </c>
      <c r="B4" s="20">
        <v>11</v>
      </c>
      <c r="C4" s="14">
        <v>496933.5</v>
      </c>
    </row>
    <row r="5" spans="1:3">
      <c r="A5" s="16" t="s">
        <v>237</v>
      </c>
      <c r="B5" s="20">
        <v>9</v>
      </c>
      <c r="C5" s="14">
        <v>485919</v>
      </c>
    </row>
    <row r="6" spans="1:3">
      <c r="A6" s="16" t="s">
        <v>102</v>
      </c>
      <c r="B6" s="20">
        <v>15</v>
      </c>
      <c r="C6" s="14">
        <v>473616.7</v>
      </c>
    </row>
    <row r="7" spans="1:3">
      <c r="A7" s="16" t="s">
        <v>332</v>
      </c>
      <c r="B7" s="20">
        <v>12</v>
      </c>
      <c r="C7" s="14">
        <v>446468.95</v>
      </c>
    </row>
    <row r="8" spans="1:3">
      <c r="A8" s="16" t="s">
        <v>313</v>
      </c>
      <c r="B8" s="20">
        <v>10</v>
      </c>
      <c r="C8" s="14">
        <v>444456</v>
      </c>
    </row>
    <row r="9" spans="1:3">
      <c r="A9" s="16" t="s">
        <v>214</v>
      </c>
      <c r="B9" s="20">
        <v>12</v>
      </c>
      <c r="C9" s="14">
        <v>433382.5</v>
      </c>
    </row>
    <row r="10" spans="1:3">
      <c r="A10" s="16" t="s">
        <v>162</v>
      </c>
      <c r="B10" s="20">
        <v>11</v>
      </c>
      <c r="C10" s="14">
        <v>404404</v>
      </c>
    </row>
    <row r="11" spans="1:3">
      <c r="A11" s="16" t="s">
        <v>28</v>
      </c>
      <c r="B11" s="20">
        <v>12</v>
      </c>
      <c r="C11" s="14">
        <v>341124.55</v>
      </c>
    </row>
    <row r="12" spans="1:3">
      <c r="A12" s="16" t="s">
        <v>111</v>
      </c>
      <c r="B12" s="20">
        <v>11</v>
      </c>
      <c r="C12" s="14">
        <v>333468</v>
      </c>
    </row>
    <row r="13" spans="1:3">
      <c r="A13" s="16" t="s">
        <v>399</v>
      </c>
      <c r="B13" s="20">
        <v>7</v>
      </c>
      <c r="C13" s="14">
        <v>304500</v>
      </c>
    </row>
    <row r="14" spans="1:3">
      <c r="A14" s="16" t="s">
        <v>1217</v>
      </c>
      <c r="B14" s="20">
        <v>110</v>
      </c>
      <c r="C14" s="14">
        <v>4164273.2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F8612-6CA0-4391-AA66-CEA78FE29F9C}">
  <dimension ref="A1"/>
  <sheetViews>
    <sheetView tabSelected="1" zoomScale="45" zoomScaleNormal="45" workbookViewId="0">
      <selection activeCell="AL11" sqref="AL11"/>
    </sheetView>
  </sheetViews>
  <sheetFormatPr defaultRowHeight="14.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6A3E7-0813-430C-9910-4AA001E1BB93}">
  <dimension ref="A3:D7"/>
  <sheetViews>
    <sheetView workbookViewId="0">
      <selection activeCell="D7" sqref="D7"/>
    </sheetView>
  </sheetViews>
  <sheetFormatPr defaultRowHeight="14.5"/>
  <cols>
    <col min="1" max="1" width="20.81640625" bestFit="1" customWidth="1"/>
    <col min="2" max="2" width="27.08984375" bestFit="1" customWidth="1"/>
    <col min="3" max="3" width="19.90625" bestFit="1" customWidth="1"/>
    <col min="4" max="4" width="12.26953125" bestFit="1" customWidth="1"/>
  </cols>
  <sheetData>
    <row r="3" spans="1:4">
      <c r="A3" t="s">
        <v>1221</v>
      </c>
      <c r="B3" t="s">
        <v>1220</v>
      </c>
      <c r="C3" t="s">
        <v>1215</v>
      </c>
    </row>
    <row r="4" spans="1:4">
      <c r="A4" s="21">
        <v>1000</v>
      </c>
      <c r="B4" s="14">
        <v>310993.10000000038</v>
      </c>
      <c r="C4" s="14">
        <v>8732206.8999999948</v>
      </c>
    </row>
    <row r="5" spans="1:4">
      <c r="D5" s="14">
        <f>GETPIVOTDATA("Discount Amount (PKR)",$A$3)</f>
        <v>310993.10000000038</v>
      </c>
    </row>
    <row r="6" spans="1:4">
      <c r="D6" s="14">
        <f>GETPIVOTDATA("Sum of Net Sales (PKR)",$A$3)</f>
        <v>8732206.8999999948</v>
      </c>
    </row>
    <row r="7" spans="1:4">
      <c r="D7" s="18">
        <f>GETPIVOTDATA("Count of Transaction ID",$A$3)</f>
        <v>1000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F8F1E-3ABA-4018-931F-5E343C77A398}">
  <dimension ref="A1:O1001"/>
  <sheetViews>
    <sheetView topLeftCell="E1" workbookViewId="0">
      <selection activeCell="E11" sqref="E11"/>
    </sheetView>
  </sheetViews>
  <sheetFormatPr defaultRowHeight="14.5"/>
  <cols>
    <col min="1" max="1" width="11.453125" bestFit="1" customWidth="1"/>
    <col min="2" max="2" width="11.54296875" bestFit="1" customWidth="1"/>
    <col min="3" max="3" width="5.54296875" bestFit="1" customWidth="1"/>
    <col min="4" max="4" width="11.26953125" bestFit="1" customWidth="1"/>
    <col min="5" max="5" width="21.7265625" bestFit="1" customWidth="1"/>
    <col min="6" max="6" width="11" bestFit="1" customWidth="1"/>
    <col min="7" max="7" width="15" bestFit="1" customWidth="1"/>
    <col min="8" max="8" width="20.54296875" bestFit="1" customWidth="1"/>
    <col min="9" max="9" width="26.54296875" bestFit="1" customWidth="1"/>
    <col min="10" max="10" width="8.7265625" bestFit="1" customWidth="1"/>
    <col min="11" max="11" width="12.26953125" bestFit="1" customWidth="1"/>
    <col min="12" max="12" width="13.54296875" bestFit="1" customWidth="1"/>
    <col min="13" max="13" width="8.7265625" bestFit="1" customWidth="1"/>
    <col min="14" max="14" width="12.26953125" bestFit="1" customWidth="1"/>
    <col min="15" max="15" width="13.54296875" bestFit="1" customWidth="1"/>
  </cols>
  <sheetData>
    <row r="1" spans="1:15" ht="4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s="2" t="s">
        <v>15</v>
      </c>
      <c r="B2" s="3">
        <v>45281</v>
      </c>
      <c r="C2" s="4">
        <v>2023</v>
      </c>
      <c r="D2" s="2" t="s">
        <v>16</v>
      </c>
      <c r="E2" s="2" t="s">
        <v>17</v>
      </c>
      <c r="F2" s="2" t="s">
        <v>18</v>
      </c>
      <c r="G2" s="2" t="s">
        <v>19</v>
      </c>
      <c r="H2" s="2" t="s">
        <v>20</v>
      </c>
      <c r="I2" s="2" t="s">
        <v>21</v>
      </c>
      <c r="J2" s="5">
        <v>3</v>
      </c>
      <c r="K2" s="6">
        <v>1000</v>
      </c>
      <c r="L2" s="6">
        <f t="shared" ref="L2:L65" si="0">J2*K2</f>
        <v>3000</v>
      </c>
      <c r="M2" s="7">
        <v>0</v>
      </c>
      <c r="N2" s="6">
        <f t="shared" ref="N2:N65" si="1">L2*M2</f>
        <v>0</v>
      </c>
      <c r="O2" s="6">
        <f t="shared" ref="O2:O65" si="2">L2-N2</f>
        <v>3000</v>
      </c>
    </row>
    <row r="3" spans="1:15">
      <c r="A3" s="8" t="s">
        <v>22</v>
      </c>
      <c r="B3" s="9">
        <v>45710</v>
      </c>
      <c r="C3" s="10">
        <v>2025</v>
      </c>
      <c r="D3" s="8" t="s">
        <v>23</v>
      </c>
      <c r="E3" s="8" t="s">
        <v>24</v>
      </c>
      <c r="F3" s="8" t="s">
        <v>25</v>
      </c>
      <c r="G3" s="8" t="s">
        <v>26</v>
      </c>
      <c r="H3" s="8" t="s">
        <v>27</v>
      </c>
      <c r="I3" s="8" t="s">
        <v>28</v>
      </c>
      <c r="J3" s="11">
        <v>1</v>
      </c>
      <c r="K3" s="12">
        <v>5000</v>
      </c>
      <c r="L3" s="12">
        <f t="shared" si="0"/>
        <v>5000</v>
      </c>
      <c r="M3" s="13">
        <v>0.14799999999999999</v>
      </c>
      <c r="N3" s="12">
        <f t="shared" si="1"/>
        <v>740</v>
      </c>
      <c r="O3" s="12">
        <f t="shared" si="2"/>
        <v>4260</v>
      </c>
    </row>
    <row r="4" spans="1:15">
      <c r="A4" s="2" t="s">
        <v>29</v>
      </c>
      <c r="B4" s="3">
        <v>45027</v>
      </c>
      <c r="C4" s="4">
        <v>2023</v>
      </c>
      <c r="D4" s="2" t="s">
        <v>30</v>
      </c>
      <c r="E4" s="2" t="s">
        <v>17</v>
      </c>
      <c r="F4" s="2" t="s">
        <v>18</v>
      </c>
      <c r="G4" s="2" t="s">
        <v>31</v>
      </c>
      <c r="H4" s="2" t="s">
        <v>32</v>
      </c>
      <c r="I4" s="2" t="s">
        <v>33</v>
      </c>
      <c r="J4" s="5">
        <v>4</v>
      </c>
      <c r="K4" s="6">
        <v>700</v>
      </c>
      <c r="L4" s="6">
        <f t="shared" si="0"/>
        <v>2800</v>
      </c>
      <c r="M4" s="7">
        <v>0</v>
      </c>
      <c r="N4" s="6">
        <f t="shared" si="1"/>
        <v>0</v>
      </c>
      <c r="O4" s="6">
        <f t="shared" si="2"/>
        <v>2800</v>
      </c>
    </row>
    <row r="5" spans="1:15">
      <c r="A5" s="8" t="s">
        <v>34</v>
      </c>
      <c r="B5" s="9">
        <v>44981</v>
      </c>
      <c r="C5" s="10">
        <v>2023</v>
      </c>
      <c r="D5" s="8" t="s">
        <v>23</v>
      </c>
      <c r="E5" s="8" t="s">
        <v>35</v>
      </c>
      <c r="F5" s="8" t="s">
        <v>36</v>
      </c>
      <c r="G5" s="8" t="s">
        <v>37</v>
      </c>
      <c r="H5" s="8" t="s">
        <v>38</v>
      </c>
      <c r="I5" s="8" t="s">
        <v>39</v>
      </c>
      <c r="J5" s="11">
        <v>2</v>
      </c>
      <c r="K5" s="12">
        <v>3950</v>
      </c>
      <c r="L5" s="12">
        <f t="shared" si="0"/>
        <v>7900</v>
      </c>
      <c r="M5" s="13">
        <v>7.6999999999999999E-2</v>
      </c>
      <c r="N5" s="12">
        <f t="shared" si="1"/>
        <v>608.29999999999995</v>
      </c>
      <c r="O5" s="12">
        <f t="shared" si="2"/>
        <v>7291.7</v>
      </c>
    </row>
    <row r="6" spans="1:15">
      <c r="A6" s="2" t="s">
        <v>40</v>
      </c>
      <c r="B6" s="3">
        <v>45991</v>
      </c>
      <c r="C6" s="4">
        <v>2025</v>
      </c>
      <c r="D6" s="2" t="s">
        <v>41</v>
      </c>
      <c r="E6" s="2" t="s">
        <v>42</v>
      </c>
      <c r="F6" s="2" t="s">
        <v>43</v>
      </c>
      <c r="G6" s="2" t="s">
        <v>44</v>
      </c>
      <c r="H6" s="2" t="s">
        <v>45</v>
      </c>
      <c r="I6" s="2" t="s">
        <v>46</v>
      </c>
      <c r="J6" s="5">
        <v>8</v>
      </c>
      <c r="K6" s="6">
        <v>1100</v>
      </c>
      <c r="L6" s="6">
        <f t="shared" si="0"/>
        <v>8800</v>
      </c>
      <c r="M6" s="7">
        <v>0</v>
      </c>
      <c r="N6" s="6">
        <f t="shared" si="1"/>
        <v>0</v>
      </c>
      <c r="O6" s="6">
        <f t="shared" si="2"/>
        <v>8800</v>
      </c>
    </row>
    <row r="7" spans="1:15">
      <c r="A7" s="8" t="s">
        <v>47</v>
      </c>
      <c r="B7" s="9">
        <v>45425</v>
      </c>
      <c r="C7" s="10">
        <v>2024</v>
      </c>
      <c r="D7" s="8" t="s">
        <v>48</v>
      </c>
      <c r="E7" s="8" t="s">
        <v>24</v>
      </c>
      <c r="F7" s="8" t="s">
        <v>25</v>
      </c>
      <c r="G7" s="8" t="s">
        <v>37</v>
      </c>
      <c r="H7" s="8" t="s">
        <v>49</v>
      </c>
      <c r="I7" s="8" t="s">
        <v>50</v>
      </c>
      <c r="J7" s="11">
        <v>2</v>
      </c>
      <c r="K7" s="12">
        <v>600</v>
      </c>
      <c r="L7" s="12">
        <f t="shared" si="0"/>
        <v>1200</v>
      </c>
      <c r="M7" s="13">
        <v>0</v>
      </c>
      <c r="N7" s="12">
        <f t="shared" si="1"/>
        <v>0</v>
      </c>
      <c r="O7" s="12">
        <f t="shared" si="2"/>
        <v>1200</v>
      </c>
    </row>
    <row r="8" spans="1:15">
      <c r="A8" s="2" t="s">
        <v>51</v>
      </c>
      <c r="B8" s="3">
        <v>45870</v>
      </c>
      <c r="C8" s="4">
        <v>2025</v>
      </c>
      <c r="D8" s="2" t="s">
        <v>52</v>
      </c>
      <c r="E8" s="2" t="s">
        <v>24</v>
      </c>
      <c r="F8" s="2" t="s">
        <v>25</v>
      </c>
      <c r="G8" s="2" t="s">
        <v>53</v>
      </c>
      <c r="H8" s="2" t="s">
        <v>54</v>
      </c>
      <c r="I8" s="2" t="s">
        <v>55</v>
      </c>
      <c r="J8" s="5">
        <v>2</v>
      </c>
      <c r="K8" s="6">
        <v>2150</v>
      </c>
      <c r="L8" s="6">
        <f t="shared" si="0"/>
        <v>4300</v>
      </c>
      <c r="M8" s="7">
        <v>2.5999999999999999E-2</v>
      </c>
      <c r="N8" s="6">
        <f t="shared" si="1"/>
        <v>111.8</v>
      </c>
      <c r="O8" s="6">
        <f t="shared" si="2"/>
        <v>4188.2</v>
      </c>
    </row>
    <row r="9" spans="1:15">
      <c r="A9" s="8" t="s">
        <v>56</v>
      </c>
      <c r="B9" s="9">
        <v>46015</v>
      </c>
      <c r="C9" s="10">
        <v>2025</v>
      </c>
      <c r="D9" s="8" t="s">
        <v>16</v>
      </c>
      <c r="E9" s="8" t="s">
        <v>17</v>
      </c>
      <c r="F9" s="8" t="s">
        <v>18</v>
      </c>
      <c r="G9" s="8" t="s">
        <v>57</v>
      </c>
      <c r="H9" s="8" t="s">
        <v>58</v>
      </c>
      <c r="I9" s="8" t="s">
        <v>59</v>
      </c>
      <c r="J9" s="11">
        <v>2</v>
      </c>
      <c r="K9" s="12">
        <v>3350</v>
      </c>
      <c r="L9" s="12">
        <f t="shared" si="0"/>
        <v>6700</v>
      </c>
      <c r="M9" s="13">
        <v>0.20100000000000001</v>
      </c>
      <c r="N9" s="12">
        <f t="shared" si="1"/>
        <v>1346.7</v>
      </c>
      <c r="O9" s="12">
        <f t="shared" si="2"/>
        <v>5353.3</v>
      </c>
    </row>
    <row r="10" spans="1:15">
      <c r="A10" s="2" t="s">
        <v>60</v>
      </c>
      <c r="B10" s="3">
        <v>45605</v>
      </c>
      <c r="C10" s="4">
        <v>2024</v>
      </c>
      <c r="D10" s="2" t="s">
        <v>41</v>
      </c>
      <c r="E10" s="2" t="s">
        <v>24</v>
      </c>
      <c r="F10" s="2" t="s">
        <v>25</v>
      </c>
      <c r="G10" s="2" t="s">
        <v>44</v>
      </c>
      <c r="H10" s="2" t="s">
        <v>61</v>
      </c>
      <c r="I10" s="2" t="s">
        <v>62</v>
      </c>
      <c r="J10" s="5">
        <v>6</v>
      </c>
      <c r="K10" s="6">
        <v>1550</v>
      </c>
      <c r="L10" s="6">
        <f t="shared" si="0"/>
        <v>9300</v>
      </c>
      <c r="M10" s="7">
        <v>0</v>
      </c>
      <c r="N10" s="6">
        <f t="shared" si="1"/>
        <v>0</v>
      </c>
      <c r="O10" s="6">
        <f t="shared" si="2"/>
        <v>9300</v>
      </c>
    </row>
    <row r="11" spans="1:15">
      <c r="A11" s="8" t="s">
        <v>63</v>
      </c>
      <c r="B11" s="9">
        <v>45256</v>
      </c>
      <c r="C11" s="10">
        <v>2023</v>
      </c>
      <c r="D11" s="8" t="s">
        <v>41</v>
      </c>
      <c r="E11" s="8" t="s">
        <v>42</v>
      </c>
      <c r="F11" s="8" t="s">
        <v>43</v>
      </c>
      <c r="G11" s="8" t="s">
        <v>64</v>
      </c>
      <c r="H11" s="8" t="s">
        <v>65</v>
      </c>
      <c r="I11" s="8" t="s">
        <v>66</v>
      </c>
      <c r="J11" s="11">
        <v>2</v>
      </c>
      <c r="K11" s="12">
        <v>4500</v>
      </c>
      <c r="L11" s="12">
        <f t="shared" si="0"/>
        <v>9000</v>
      </c>
      <c r="M11" s="13">
        <v>0</v>
      </c>
      <c r="N11" s="12">
        <f t="shared" si="1"/>
        <v>0</v>
      </c>
      <c r="O11" s="12">
        <f t="shared" si="2"/>
        <v>9000</v>
      </c>
    </row>
    <row r="12" spans="1:15">
      <c r="A12" s="2" t="s">
        <v>67</v>
      </c>
      <c r="B12" s="3">
        <v>45491</v>
      </c>
      <c r="C12" s="4">
        <v>2024</v>
      </c>
      <c r="D12" s="2" t="s">
        <v>68</v>
      </c>
      <c r="E12" s="2" t="s">
        <v>35</v>
      </c>
      <c r="F12" s="2" t="s">
        <v>36</v>
      </c>
      <c r="G12" s="2" t="s">
        <v>19</v>
      </c>
      <c r="H12" s="2" t="s">
        <v>69</v>
      </c>
      <c r="I12" s="2" t="s">
        <v>70</v>
      </c>
      <c r="J12" s="5">
        <v>3</v>
      </c>
      <c r="K12" s="6">
        <v>1450</v>
      </c>
      <c r="L12" s="6">
        <f t="shared" si="0"/>
        <v>4350</v>
      </c>
      <c r="M12" s="7">
        <v>0</v>
      </c>
      <c r="N12" s="6">
        <f t="shared" si="1"/>
        <v>0</v>
      </c>
      <c r="O12" s="6">
        <f t="shared" si="2"/>
        <v>4350</v>
      </c>
    </row>
    <row r="13" spans="1:15">
      <c r="A13" s="8" t="s">
        <v>71</v>
      </c>
      <c r="B13" s="9">
        <v>45955</v>
      </c>
      <c r="C13" s="10">
        <v>2025</v>
      </c>
      <c r="D13" s="8" t="s">
        <v>72</v>
      </c>
      <c r="E13" s="8" t="s">
        <v>35</v>
      </c>
      <c r="F13" s="8" t="s">
        <v>36</v>
      </c>
      <c r="G13" s="8" t="s">
        <v>64</v>
      </c>
      <c r="H13" s="8" t="s">
        <v>65</v>
      </c>
      <c r="I13" s="8" t="s">
        <v>73</v>
      </c>
      <c r="J13" s="11">
        <v>3</v>
      </c>
      <c r="K13" s="12">
        <v>3750</v>
      </c>
      <c r="L13" s="12">
        <f t="shared" si="0"/>
        <v>11250</v>
      </c>
      <c r="M13" s="13">
        <v>0</v>
      </c>
      <c r="N13" s="12">
        <f t="shared" si="1"/>
        <v>0</v>
      </c>
      <c r="O13" s="12">
        <f t="shared" si="2"/>
        <v>11250</v>
      </c>
    </row>
    <row r="14" spans="1:15">
      <c r="A14" s="2" t="s">
        <v>74</v>
      </c>
      <c r="B14" s="3">
        <v>45961</v>
      </c>
      <c r="C14" s="4">
        <v>2025</v>
      </c>
      <c r="D14" s="2" t="s">
        <v>72</v>
      </c>
      <c r="E14" s="2" t="s">
        <v>24</v>
      </c>
      <c r="F14" s="2" t="s">
        <v>25</v>
      </c>
      <c r="G14" s="2" t="s">
        <v>57</v>
      </c>
      <c r="H14" s="2" t="s">
        <v>75</v>
      </c>
      <c r="I14" s="2" t="s">
        <v>76</v>
      </c>
      <c r="J14" s="5">
        <v>2</v>
      </c>
      <c r="K14" s="6">
        <v>3050</v>
      </c>
      <c r="L14" s="6">
        <f t="shared" si="0"/>
        <v>6100</v>
      </c>
      <c r="M14" s="7">
        <v>0</v>
      </c>
      <c r="N14" s="6">
        <f t="shared" si="1"/>
        <v>0</v>
      </c>
      <c r="O14" s="6">
        <f t="shared" si="2"/>
        <v>6100</v>
      </c>
    </row>
    <row r="15" spans="1:15">
      <c r="A15" s="8" t="s">
        <v>77</v>
      </c>
      <c r="B15" s="9">
        <v>45364</v>
      </c>
      <c r="C15" s="10">
        <v>2024</v>
      </c>
      <c r="D15" s="8" t="s">
        <v>78</v>
      </c>
      <c r="E15" s="8" t="s">
        <v>35</v>
      </c>
      <c r="F15" s="8" t="s">
        <v>36</v>
      </c>
      <c r="G15" s="8" t="s">
        <v>37</v>
      </c>
      <c r="H15" s="8" t="s">
        <v>49</v>
      </c>
      <c r="I15" s="8" t="s">
        <v>79</v>
      </c>
      <c r="J15" s="11">
        <v>1</v>
      </c>
      <c r="K15" s="12">
        <v>1850</v>
      </c>
      <c r="L15" s="12">
        <f t="shared" si="0"/>
        <v>1850</v>
      </c>
      <c r="M15" s="13">
        <v>0</v>
      </c>
      <c r="N15" s="12">
        <f t="shared" si="1"/>
        <v>0</v>
      </c>
      <c r="O15" s="12">
        <f t="shared" si="2"/>
        <v>1850</v>
      </c>
    </row>
    <row r="16" spans="1:15">
      <c r="A16" s="2" t="s">
        <v>80</v>
      </c>
      <c r="B16" s="3">
        <v>45971</v>
      </c>
      <c r="C16" s="4">
        <v>2025</v>
      </c>
      <c r="D16" s="2" t="s">
        <v>41</v>
      </c>
      <c r="E16" s="2" t="s">
        <v>42</v>
      </c>
      <c r="F16" s="2" t="s">
        <v>43</v>
      </c>
      <c r="G16" s="2" t="s">
        <v>31</v>
      </c>
      <c r="H16" s="2" t="s">
        <v>81</v>
      </c>
      <c r="I16" s="2" t="s">
        <v>82</v>
      </c>
      <c r="J16" s="5">
        <v>1</v>
      </c>
      <c r="K16" s="6">
        <v>750</v>
      </c>
      <c r="L16" s="6">
        <f t="shared" si="0"/>
        <v>750</v>
      </c>
      <c r="M16" s="7">
        <v>0</v>
      </c>
      <c r="N16" s="6">
        <f t="shared" si="1"/>
        <v>0</v>
      </c>
      <c r="O16" s="6">
        <f t="shared" si="2"/>
        <v>750</v>
      </c>
    </row>
    <row r="17" spans="1:15">
      <c r="A17" s="8" t="s">
        <v>83</v>
      </c>
      <c r="B17" s="9">
        <v>45415</v>
      </c>
      <c r="C17" s="10">
        <v>2024</v>
      </c>
      <c r="D17" s="8" t="s">
        <v>48</v>
      </c>
      <c r="E17" s="8" t="s">
        <v>35</v>
      </c>
      <c r="F17" s="8" t="s">
        <v>36</v>
      </c>
      <c r="G17" s="8" t="s">
        <v>31</v>
      </c>
      <c r="H17" s="8" t="s">
        <v>84</v>
      </c>
      <c r="I17" s="8" t="s">
        <v>85</v>
      </c>
      <c r="J17" s="11">
        <v>5</v>
      </c>
      <c r="K17" s="12">
        <v>370</v>
      </c>
      <c r="L17" s="12">
        <f t="shared" si="0"/>
        <v>1850</v>
      </c>
      <c r="M17" s="13">
        <v>7.0000000000000001E-3</v>
      </c>
      <c r="N17" s="12">
        <f t="shared" si="1"/>
        <v>12.950000000000001</v>
      </c>
      <c r="O17" s="12">
        <f t="shared" si="2"/>
        <v>1837.05</v>
      </c>
    </row>
    <row r="18" spans="1:15">
      <c r="A18" s="2" t="s">
        <v>86</v>
      </c>
      <c r="B18" s="3">
        <v>45235</v>
      </c>
      <c r="C18" s="4">
        <v>2023</v>
      </c>
      <c r="D18" s="2" t="s">
        <v>41</v>
      </c>
      <c r="E18" s="2" t="s">
        <v>42</v>
      </c>
      <c r="F18" s="2" t="s">
        <v>43</v>
      </c>
      <c r="G18" s="2" t="s">
        <v>57</v>
      </c>
      <c r="H18" s="2" t="s">
        <v>58</v>
      </c>
      <c r="I18" s="2" t="s">
        <v>87</v>
      </c>
      <c r="J18" s="5">
        <v>1</v>
      </c>
      <c r="K18" s="6">
        <v>6000</v>
      </c>
      <c r="L18" s="6">
        <f t="shared" si="0"/>
        <v>6000</v>
      </c>
      <c r="M18" s="7">
        <v>0.14000000000000001</v>
      </c>
      <c r="N18" s="6">
        <f t="shared" si="1"/>
        <v>840.00000000000011</v>
      </c>
      <c r="O18" s="6">
        <f t="shared" si="2"/>
        <v>5160</v>
      </c>
    </row>
    <row r="19" spans="1:15">
      <c r="A19" s="8" t="s">
        <v>88</v>
      </c>
      <c r="B19" s="9">
        <v>45971</v>
      </c>
      <c r="C19" s="10">
        <v>2025</v>
      </c>
      <c r="D19" s="8" t="s">
        <v>41</v>
      </c>
      <c r="E19" s="8" t="s">
        <v>24</v>
      </c>
      <c r="F19" s="8" t="s">
        <v>25</v>
      </c>
      <c r="G19" s="8" t="s">
        <v>37</v>
      </c>
      <c r="H19" s="8" t="s">
        <v>38</v>
      </c>
      <c r="I19" s="8" t="s">
        <v>89</v>
      </c>
      <c r="J19" s="11">
        <v>1</v>
      </c>
      <c r="K19" s="12">
        <v>2750</v>
      </c>
      <c r="L19" s="12">
        <f t="shared" si="0"/>
        <v>2750</v>
      </c>
      <c r="M19" s="13">
        <v>0</v>
      </c>
      <c r="N19" s="12">
        <f t="shared" si="1"/>
        <v>0</v>
      </c>
      <c r="O19" s="12">
        <f t="shared" si="2"/>
        <v>2750</v>
      </c>
    </row>
    <row r="20" spans="1:15">
      <c r="A20" s="2" t="s">
        <v>90</v>
      </c>
      <c r="B20" s="3">
        <v>45649</v>
      </c>
      <c r="C20" s="4">
        <v>2024</v>
      </c>
      <c r="D20" s="2" t="s">
        <v>16</v>
      </c>
      <c r="E20" s="2" t="s">
        <v>24</v>
      </c>
      <c r="F20" s="2" t="s">
        <v>25</v>
      </c>
      <c r="G20" s="2" t="s">
        <v>37</v>
      </c>
      <c r="H20" s="2" t="s">
        <v>91</v>
      </c>
      <c r="I20" s="2" t="s">
        <v>92</v>
      </c>
      <c r="J20" s="5">
        <v>2</v>
      </c>
      <c r="K20" s="6">
        <v>3650</v>
      </c>
      <c r="L20" s="6">
        <f t="shared" si="0"/>
        <v>7300</v>
      </c>
      <c r="M20" s="7">
        <v>0</v>
      </c>
      <c r="N20" s="6">
        <f t="shared" si="1"/>
        <v>0</v>
      </c>
      <c r="O20" s="6">
        <f t="shared" si="2"/>
        <v>7300</v>
      </c>
    </row>
    <row r="21" spans="1:15">
      <c r="A21" s="8" t="s">
        <v>93</v>
      </c>
      <c r="B21" s="9">
        <v>45594</v>
      </c>
      <c r="C21" s="10">
        <v>2024</v>
      </c>
      <c r="D21" s="8" t="s">
        <v>72</v>
      </c>
      <c r="E21" s="8" t="s">
        <v>17</v>
      </c>
      <c r="F21" s="8" t="s">
        <v>18</v>
      </c>
      <c r="G21" s="8" t="s">
        <v>64</v>
      </c>
      <c r="H21" s="8" t="s">
        <v>94</v>
      </c>
      <c r="I21" s="8" t="s">
        <v>95</v>
      </c>
      <c r="J21" s="11">
        <v>1</v>
      </c>
      <c r="K21" s="12">
        <v>600</v>
      </c>
      <c r="L21" s="12">
        <f t="shared" si="0"/>
        <v>600</v>
      </c>
      <c r="M21" s="13">
        <v>0.127</v>
      </c>
      <c r="N21" s="12">
        <f t="shared" si="1"/>
        <v>76.2</v>
      </c>
      <c r="O21" s="12">
        <f t="shared" si="2"/>
        <v>523.79999999999995</v>
      </c>
    </row>
    <row r="22" spans="1:15">
      <c r="A22" s="2" t="s">
        <v>96</v>
      </c>
      <c r="B22" s="3">
        <v>45801</v>
      </c>
      <c r="C22" s="4">
        <v>2025</v>
      </c>
      <c r="D22" s="2" t="s">
        <v>48</v>
      </c>
      <c r="E22" s="2" t="s">
        <v>17</v>
      </c>
      <c r="F22" s="2" t="s">
        <v>18</v>
      </c>
      <c r="G22" s="2" t="s">
        <v>64</v>
      </c>
      <c r="H22" s="2" t="s">
        <v>97</v>
      </c>
      <c r="I22" s="2" t="s">
        <v>98</v>
      </c>
      <c r="J22" s="5">
        <v>1</v>
      </c>
      <c r="K22" s="6">
        <v>2050</v>
      </c>
      <c r="L22" s="6">
        <f t="shared" si="0"/>
        <v>2050</v>
      </c>
      <c r="M22" s="7">
        <v>0</v>
      </c>
      <c r="N22" s="6">
        <f t="shared" si="1"/>
        <v>0</v>
      </c>
      <c r="O22" s="6">
        <f t="shared" si="2"/>
        <v>2050</v>
      </c>
    </row>
    <row r="23" spans="1:15">
      <c r="A23" s="8" t="s">
        <v>99</v>
      </c>
      <c r="B23" s="9">
        <v>45454</v>
      </c>
      <c r="C23" s="10">
        <v>2024</v>
      </c>
      <c r="D23" s="8" t="s">
        <v>100</v>
      </c>
      <c r="E23" s="8" t="s">
        <v>35</v>
      </c>
      <c r="F23" s="8" t="s">
        <v>36</v>
      </c>
      <c r="G23" s="8" t="s">
        <v>26</v>
      </c>
      <c r="H23" s="8" t="s">
        <v>101</v>
      </c>
      <c r="I23" s="8" t="s">
        <v>102</v>
      </c>
      <c r="J23" s="11">
        <v>2</v>
      </c>
      <c r="K23" s="12">
        <v>29500</v>
      </c>
      <c r="L23" s="12">
        <f t="shared" si="0"/>
        <v>59000</v>
      </c>
      <c r="M23" s="13">
        <v>0.1</v>
      </c>
      <c r="N23" s="12">
        <f t="shared" si="1"/>
        <v>5900</v>
      </c>
      <c r="O23" s="12">
        <f t="shared" si="2"/>
        <v>53100</v>
      </c>
    </row>
    <row r="24" spans="1:15">
      <c r="A24" s="2" t="s">
        <v>103</v>
      </c>
      <c r="B24" s="3">
        <v>45135</v>
      </c>
      <c r="C24" s="4">
        <v>2023</v>
      </c>
      <c r="D24" s="2" t="s">
        <v>68</v>
      </c>
      <c r="E24" s="2" t="s">
        <v>24</v>
      </c>
      <c r="F24" s="2" t="s">
        <v>25</v>
      </c>
      <c r="G24" s="2" t="s">
        <v>37</v>
      </c>
      <c r="H24" s="2" t="s">
        <v>104</v>
      </c>
      <c r="I24" s="2" t="s">
        <v>105</v>
      </c>
      <c r="J24" s="5">
        <v>1</v>
      </c>
      <c r="K24" s="6">
        <v>1500</v>
      </c>
      <c r="L24" s="6">
        <f t="shared" si="0"/>
        <v>1500</v>
      </c>
      <c r="M24" s="7">
        <v>7.0000000000000001E-3</v>
      </c>
      <c r="N24" s="6">
        <f t="shared" si="1"/>
        <v>10.5</v>
      </c>
      <c r="O24" s="6">
        <f t="shared" si="2"/>
        <v>1489.5</v>
      </c>
    </row>
    <row r="25" spans="1:15">
      <c r="A25" s="8" t="s">
        <v>106</v>
      </c>
      <c r="B25" s="9">
        <v>45615</v>
      </c>
      <c r="C25" s="10">
        <v>2024</v>
      </c>
      <c r="D25" s="8" t="s">
        <v>41</v>
      </c>
      <c r="E25" s="8" t="s">
        <v>24</v>
      </c>
      <c r="F25" s="8" t="s">
        <v>25</v>
      </c>
      <c r="G25" s="8" t="s">
        <v>19</v>
      </c>
      <c r="H25" s="8" t="s">
        <v>107</v>
      </c>
      <c r="I25" s="8" t="s">
        <v>108</v>
      </c>
      <c r="J25" s="11">
        <v>5</v>
      </c>
      <c r="K25" s="12">
        <v>650</v>
      </c>
      <c r="L25" s="12">
        <f t="shared" si="0"/>
        <v>3250</v>
      </c>
      <c r="M25" s="13">
        <v>0</v>
      </c>
      <c r="N25" s="12">
        <f t="shared" si="1"/>
        <v>0</v>
      </c>
      <c r="O25" s="12">
        <f t="shared" si="2"/>
        <v>3250</v>
      </c>
    </row>
    <row r="26" spans="1:15">
      <c r="A26" s="2" t="s">
        <v>109</v>
      </c>
      <c r="B26" s="3">
        <v>45038</v>
      </c>
      <c r="C26" s="4">
        <v>2023</v>
      </c>
      <c r="D26" s="2" t="s">
        <v>30</v>
      </c>
      <c r="E26" s="2" t="s">
        <v>35</v>
      </c>
      <c r="F26" s="2" t="s">
        <v>36</v>
      </c>
      <c r="G26" s="2" t="s">
        <v>26</v>
      </c>
      <c r="H26" s="2" t="s">
        <v>110</v>
      </c>
      <c r="I26" s="2" t="s">
        <v>111</v>
      </c>
      <c r="J26" s="5">
        <v>1</v>
      </c>
      <c r="K26" s="6">
        <v>48000</v>
      </c>
      <c r="L26" s="6">
        <f t="shared" si="0"/>
        <v>48000</v>
      </c>
      <c r="M26" s="7">
        <v>0</v>
      </c>
      <c r="N26" s="6">
        <f t="shared" si="1"/>
        <v>0</v>
      </c>
      <c r="O26" s="6">
        <f t="shared" si="2"/>
        <v>48000</v>
      </c>
    </row>
    <row r="27" spans="1:15">
      <c r="A27" s="8" t="s">
        <v>112</v>
      </c>
      <c r="B27" s="9">
        <v>45578</v>
      </c>
      <c r="C27" s="10">
        <v>2024</v>
      </c>
      <c r="D27" s="8" t="s">
        <v>72</v>
      </c>
      <c r="E27" s="8" t="s">
        <v>42</v>
      </c>
      <c r="F27" s="8" t="s">
        <v>43</v>
      </c>
      <c r="G27" s="8" t="s">
        <v>26</v>
      </c>
      <c r="H27" s="8" t="s">
        <v>113</v>
      </c>
      <c r="I27" s="8" t="s">
        <v>114</v>
      </c>
      <c r="J27" s="11">
        <v>1</v>
      </c>
      <c r="K27" s="12">
        <v>24500</v>
      </c>
      <c r="L27" s="12">
        <f t="shared" si="0"/>
        <v>24500</v>
      </c>
      <c r="M27" s="13">
        <v>0.114</v>
      </c>
      <c r="N27" s="12">
        <f t="shared" si="1"/>
        <v>2793</v>
      </c>
      <c r="O27" s="12">
        <f t="shared" si="2"/>
        <v>21707</v>
      </c>
    </row>
    <row r="28" spans="1:15">
      <c r="A28" s="2" t="s">
        <v>115</v>
      </c>
      <c r="B28" s="3">
        <v>44974</v>
      </c>
      <c r="C28" s="4">
        <v>2023</v>
      </c>
      <c r="D28" s="2" t="s">
        <v>23</v>
      </c>
      <c r="E28" s="2" t="s">
        <v>42</v>
      </c>
      <c r="F28" s="2" t="s">
        <v>43</v>
      </c>
      <c r="G28" s="2" t="s">
        <v>19</v>
      </c>
      <c r="H28" s="2" t="s">
        <v>116</v>
      </c>
      <c r="I28" s="2" t="s">
        <v>117</v>
      </c>
      <c r="J28" s="5">
        <v>5</v>
      </c>
      <c r="K28" s="6">
        <v>1900</v>
      </c>
      <c r="L28" s="6">
        <f t="shared" si="0"/>
        <v>9500</v>
      </c>
      <c r="M28" s="7">
        <v>4.7E-2</v>
      </c>
      <c r="N28" s="6">
        <f t="shared" si="1"/>
        <v>446.5</v>
      </c>
      <c r="O28" s="6">
        <f t="shared" si="2"/>
        <v>9053.5</v>
      </c>
    </row>
    <row r="29" spans="1:15">
      <c r="A29" s="8" t="s">
        <v>118</v>
      </c>
      <c r="B29" s="9">
        <v>45727</v>
      </c>
      <c r="C29" s="10">
        <v>2025</v>
      </c>
      <c r="D29" s="8" t="s">
        <v>78</v>
      </c>
      <c r="E29" s="8" t="s">
        <v>24</v>
      </c>
      <c r="F29" s="8" t="s">
        <v>25</v>
      </c>
      <c r="G29" s="8" t="s">
        <v>31</v>
      </c>
      <c r="H29" s="8" t="s">
        <v>81</v>
      </c>
      <c r="I29" s="8" t="s">
        <v>82</v>
      </c>
      <c r="J29" s="11">
        <v>2</v>
      </c>
      <c r="K29" s="12">
        <v>470</v>
      </c>
      <c r="L29" s="12">
        <f t="shared" si="0"/>
        <v>940</v>
      </c>
      <c r="M29" s="13">
        <v>0</v>
      </c>
      <c r="N29" s="12">
        <f t="shared" si="1"/>
        <v>0</v>
      </c>
      <c r="O29" s="12">
        <f t="shared" si="2"/>
        <v>940</v>
      </c>
    </row>
    <row r="30" spans="1:15">
      <c r="A30" s="2" t="s">
        <v>119</v>
      </c>
      <c r="B30" s="3">
        <v>45107</v>
      </c>
      <c r="C30" s="4">
        <v>2023</v>
      </c>
      <c r="D30" s="2" t="s">
        <v>100</v>
      </c>
      <c r="E30" s="2" t="s">
        <v>42</v>
      </c>
      <c r="F30" s="2" t="s">
        <v>43</v>
      </c>
      <c r="G30" s="2" t="s">
        <v>19</v>
      </c>
      <c r="H30" s="2" t="s">
        <v>20</v>
      </c>
      <c r="I30" s="2" t="s">
        <v>120</v>
      </c>
      <c r="J30" s="5">
        <v>5</v>
      </c>
      <c r="K30" s="6">
        <v>2300</v>
      </c>
      <c r="L30" s="6">
        <f t="shared" si="0"/>
        <v>11500</v>
      </c>
      <c r="M30" s="7">
        <v>3.4000000000000002E-2</v>
      </c>
      <c r="N30" s="6">
        <f t="shared" si="1"/>
        <v>391</v>
      </c>
      <c r="O30" s="6">
        <f t="shared" si="2"/>
        <v>11109</v>
      </c>
    </row>
    <row r="31" spans="1:15">
      <c r="A31" s="8" t="s">
        <v>121</v>
      </c>
      <c r="B31" s="9">
        <v>45445</v>
      </c>
      <c r="C31" s="10">
        <v>2024</v>
      </c>
      <c r="D31" s="8" t="s">
        <v>100</v>
      </c>
      <c r="E31" s="8" t="s">
        <v>24</v>
      </c>
      <c r="F31" s="8" t="s">
        <v>25</v>
      </c>
      <c r="G31" s="8" t="s">
        <v>53</v>
      </c>
      <c r="H31" s="8" t="s">
        <v>54</v>
      </c>
      <c r="I31" s="8" t="s">
        <v>55</v>
      </c>
      <c r="J31" s="11">
        <v>1</v>
      </c>
      <c r="K31" s="12">
        <v>3300</v>
      </c>
      <c r="L31" s="12">
        <f t="shared" si="0"/>
        <v>3300</v>
      </c>
      <c r="M31" s="13">
        <v>7.8E-2</v>
      </c>
      <c r="N31" s="12">
        <f t="shared" si="1"/>
        <v>257.39999999999998</v>
      </c>
      <c r="O31" s="12">
        <f t="shared" si="2"/>
        <v>3042.6</v>
      </c>
    </row>
    <row r="32" spans="1:15">
      <c r="A32" s="2" t="s">
        <v>122</v>
      </c>
      <c r="B32" s="3">
        <v>45556</v>
      </c>
      <c r="C32" s="4">
        <v>2024</v>
      </c>
      <c r="D32" s="2" t="s">
        <v>123</v>
      </c>
      <c r="E32" s="2" t="s">
        <v>17</v>
      </c>
      <c r="F32" s="2" t="s">
        <v>18</v>
      </c>
      <c r="G32" s="2" t="s">
        <v>31</v>
      </c>
      <c r="H32" s="2" t="s">
        <v>124</v>
      </c>
      <c r="I32" s="2" t="s">
        <v>125</v>
      </c>
      <c r="J32" s="5">
        <v>1</v>
      </c>
      <c r="K32" s="6">
        <v>370</v>
      </c>
      <c r="L32" s="6">
        <f t="shared" si="0"/>
        <v>370</v>
      </c>
      <c r="M32" s="7">
        <v>0</v>
      </c>
      <c r="N32" s="6">
        <f t="shared" si="1"/>
        <v>0</v>
      </c>
      <c r="O32" s="6">
        <f t="shared" si="2"/>
        <v>370</v>
      </c>
    </row>
    <row r="33" spans="1:15">
      <c r="A33" s="8" t="s">
        <v>126</v>
      </c>
      <c r="B33" s="9">
        <v>45575</v>
      </c>
      <c r="C33" s="10">
        <v>2024</v>
      </c>
      <c r="D33" s="8" t="s">
        <v>72</v>
      </c>
      <c r="E33" s="8" t="s">
        <v>24</v>
      </c>
      <c r="F33" s="8" t="s">
        <v>25</v>
      </c>
      <c r="G33" s="8" t="s">
        <v>64</v>
      </c>
      <c r="H33" s="8" t="s">
        <v>127</v>
      </c>
      <c r="I33" s="8" t="s">
        <v>128</v>
      </c>
      <c r="J33" s="11">
        <v>1</v>
      </c>
      <c r="K33" s="12">
        <v>1350</v>
      </c>
      <c r="L33" s="12">
        <f t="shared" si="0"/>
        <v>1350</v>
      </c>
      <c r="M33" s="13">
        <v>0</v>
      </c>
      <c r="N33" s="12">
        <f t="shared" si="1"/>
        <v>0</v>
      </c>
      <c r="O33" s="12">
        <f t="shared" si="2"/>
        <v>1350</v>
      </c>
    </row>
    <row r="34" spans="1:15">
      <c r="A34" s="2" t="s">
        <v>129</v>
      </c>
      <c r="B34" s="3">
        <v>45548</v>
      </c>
      <c r="C34" s="4">
        <v>2024</v>
      </c>
      <c r="D34" s="2" t="s">
        <v>123</v>
      </c>
      <c r="E34" s="2" t="s">
        <v>42</v>
      </c>
      <c r="F34" s="2" t="s">
        <v>43</v>
      </c>
      <c r="G34" s="2" t="s">
        <v>19</v>
      </c>
      <c r="H34" s="2" t="s">
        <v>107</v>
      </c>
      <c r="I34" s="2" t="s">
        <v>108</v>
      </c>
      <c r="J34" s="5">
        <v>4</v>
      </c>
      <c r="K34" s="6">
        <v>210</v>
      </c>
      <c r="L34" s="6">
        <f t="shared" si="0"/>
        <v>840</v>
      </c>
      <c r="M34" s="7">
        <v>0.03</v>
      </c>
      <c r="N34" s="6">
        <f t="shared" si="1"/>
        <v>25.2</v>
      </c>
      <c r="O34" s="6">
        <f t="shared" si="2"/>
        <v>814.8</v>
      </c>
    </row>
    <row r="35" spans="1:15">
      <c r="A35" s="8" t="s">
        <v>130</v>
      </c>
      <c r="B35" s="9">
        <v>45201</v>
      </c>
      <c r="C35" s="10">
        <v>2023</v>
      </c>
      <c r="D35" s="8" t="s">
        <v>72</v>
      </c>
      <c r="E35" s="8" t="s">
        <v>42</v>
      </c>
      <c r="F35" s="8" t="s">
        <v>43</v>
      </c>
      <c r="G35" s="8" t="s">
        <v>57</v>
      </c>
      <c r="H35" s="8" t="s">
        <v>131</v>
      </c>
      <c r="I35" s="8" t="s">
        <v>132</v>
      </c>
      <c r="J35" s="11">
        <v>2</v>
      </c>
      <c r="K35" s="12">
        <v>1600</v>
      </c>
      <c r="L35" s="12">
        <f t="shared" si="0"/>
        <v>3200</v>
      </c>
      <c r="M35" s="13">
        <v>0.10299999999999999</v>
      </c>
      <c r="N35" s="12">
        <f t="shared" si="1"/>
        <v>329.59999999999997</v>
      </c>
      <c r="O35" s="12">
        <f t="shared" si="2"/>
        <v>2870.4</v>
      </c>
    </row>
    <row r="36" spans="1:15">
      <c r="A36" s="2" t="s">
        <v>133</v>
      </c>
      <c r="B36" s="3">
        <v>45889</v>
      </c>
      <c r="C36" s="4">
        <v>2025</v>
      </c>
      <c r="D36" s="2" t="s">
        <v>52</v>
      </c>
      <c r="E36" s="2" t="s">
        <v>17</v>
      </c>
      <c r="F36" s="2" t="s">
        <v>18</v>
      </c>
      <c r="G36" s="2" t="s">
        <v>64</v>
      </c>
      <c r="H36" s="2" t="s">
        <v>97</v>
      </c>
      <c r="I36" s="2" t="s">
        <v>134</v>
      </c>
      <c r="J36" s="5">
        <v>4</v>
      </c>
      <c r="K36" s="6">
        <v>1150</v>
      </c>
      <c r="L36" s="6">
        <f t="shared" si="0"/>
        <v>4600</v>
      </c>
      <c r="M36" s="7">
        <v>0.29699999999999999</v>
      </c>
      <c r="N36" s="6">
        <f t="shared" si="1"/>
        <v>1366.2</v>
      </c>
      <c r="O36" s="6">
        <f t="shared" si="2"/>
        <v>3233.8</v>
      </c>
    </row>
    <row r="37" spans="1:15">
      <c r="A37" s="8" t="s">
        <v>135</v>
      </c>
      <c r="B37" s="9">
        <v>45228</v>
      </c>
      <c r="C37" s="10">
        <v>2023</v>
      </c>
      <c r="D37" s="8" t="s">
        <v>72</v>
      </c>
      <c r="E37" s="8" t="s">
        <v>42</v>
      </c>
      <c r="F37" s="8" t="s">
        <v>43</v>
      </c>
      <c r="G37" s="8" t="s">
        <v>53</v>
      </c>
      <c r="H37" s="8" t="s">
        <v>136</v>
      </c>
      <c r="I37" s="8" t="s">
        <v>137</v>
      </c>
      <c r="J37" s="11">
        <v>1</v>
      </c>
      <c r="K37" s="12">
        <v>1450</v>
      </c>
      <c r="L37" s="12">
        <f t="shared" si="0"/>
        <v>1450</v>
      </c>
      <c r="M37" s="13">
        <v>0</v>
      </c>
      <c r="N37" s="12">
        <f t="shared" si="1"/>
        <v>0</v>
      </c>
      <c r="O37" s="12">
        <f t="shared" si="2"/>
        <v>1450</v>
      </c>
    </row>
    <row r="38" spans="1:15">
      <c r="A38" s="2" t="s">
        <v>138</v>
      </c>
      <c r="B38" s="3">
        <v>46013</v>
      </c>
      <c r="C38" s="4">
        <v>2025</v>
      </c>
      <c r="D38" s="2" t="s">
        <v>16</v>
      </c>
      <c r="E38" s="2" t="s">
        <v>17</v>
      </c>
      <c r="F38" s="2" t="s">
        <v>18</v>
      </c>
      <c r="G38" s="2" t="s">
        <v>19</v>
      </c>
      <c r="H38" s="2" t="s">
        <v>116</v>
      </c>
      <c r="I38" s="2" t="s">
        <v>139</v>
      </c>
      <c r="J38" s="5">
        <v>3</v>
      </c>
      <c r="K38" s="6">
        <v>1000</v>
      </c>
      <c r="L38" s="6">
        <f t="shared" si="0"/>
        <v>3000</v>
      </c>
      <c r="M38" s="7">
        <v>1.7000000000000001E-2</v>
      </c>
      <c r="N38" s="6">
        <f t="shared" si="1"/>
        <v>51.000000000000007</v>
      </c>
      <c r="O38" s="6">
        <f t="shared" si="2"/>
        <v>2949</v>
      </c>
    </row>
    <row r="39" spans="1:15">
      <c r="A39" s="8" t="s">
        <v>140</v>
      </c>
      <c r="B39" s="9">
        <v>45586</v>
      </c>
      <c r="C39" s="10">
        <v>2024</v>
      </c>
      <c r="D39" s="8" t="s">
        <v>72</v>
      </c>
      <c r="E39" s="8" t="s">
        <v>24</v>
      </c>
      <c r="F39" s="8" t="s">
        <v>25</v>
      </c>
      <c r="G39" s="8" t="s">
        <v>19</v>
      </c>
      <c r="H39" s="8" t="s">
        <v>141</v>
      </c>
      <c r="I39" s="8" t="s">
        <v>142</v>
      </c>
      <c r="J39" s="11">
        <v>6</v>
      </c>
      <c r="K39" s="12">
        <v>800</v>
      </c>
      <c r="L39" s="12">
        <f t="shared" si="0"/>
        <v>4800</v>
      </c>
      <c r="M39" s="13">
        <v>0</v>
      </c>
      <c r="N39" s="12">
        <f t="shared" si="1"/>
        <v>0</v>
      </c>
      <c r="O39" s="12">
        <f t="shared" si="2"/>
        <v>4800</v>
      </c>
    </row>
    <row r="40" spans="1:15">
      <c r="A40" s="2" t="s">
        <v>143</v>
      </c>
      <c r="B40" s="3">
        <v>44974</v>
      </c>
      <c r="C40" s="4">
        <v>2023</v>
      </c>
      <c r="D40" s="2" t="s">
        <v>23</v>
      </c>
      <c r="E40" s="2" t="s">
        <v>35</v>
      </c>
      <c r="F40" s="2" t="s">
        <v>36</v>
      </c>
      <c r="G40" s="2" t="s">
        <v>57</v>
      </c>
      <c r="H40" s="2" t="s">
        <v>75</v>
      </c>
      <c r="I40" s="2" t="s">
        <v>144</v>
      </c>
      <c r="J40" s="5">
        <v>1</v>
      </c>
      <c r="K40" s="6">
        <v>6000</v>
      </c>
      <c r="L40" s="6">
        <f t="shared" si="0"/>
        <v>6000</v>
      </c>
      <c r="M40" s="7">
        <v>0</v>
      </c>
      <c r="N40" s="6">
        <f t="shared" si="1"/>
        <v>0</v>
      </c>
      <c r="O40" s="6">
        <f t="shared" si="2"/>
        <v>6000</v>
      </c>
    </row>
    <row r="41" spans="1:15">
      <c r="A41" s="8" t="s">
        <v>145</v>
      </c>
      <c r="B41" s="9">
        <v>45077</v>
      </c>
      <c r="C41" s="10">
        <v>2023</v>
      </c>
      <c r="D41" s="8" t="s">
        <v>48</v>
      </c>
      <c r="E41" s="8" t="s">
        <v>35</v>
      </c>
      <c r="F41" s="8" t="s">
        <v>36</v>
      </c>
      <c r="G41" s="8" t="s">
        <v>19</v>
      </c>
      <c r="H41" s="8" t="s">
        <v>107</v>
      </c>
      <c r="I41" s="8" t="s">
        <v>146</v>
      </c>
      <c r="J41" s="11">
        <v>8</v>
      </c>
      <c r="K41" s="12">
        <v>1750</v>
      </c>
      <c r="L41" s="12">
        <f t="shared" si="0"/>
        <v>14000</v>
      </c>
      <c r="M41" s="13">
        <v>0</v>
      </c>
      <c r="N41" s="12">
        <f t="shared" si="1"/>
        <v>0</v>
      </c>
      <c r="O41" s="12">
        <f t="shared" si="2"/>
        <v>14000</v>
      </c>
    </row>
    <row r="42" spans="1:15">
      <c r="A42" s="2" t="s">
        <v>147</v>
      </c>
      <c r="B42" s="3">
        <v>45232</v>
      </c>
      <c r="C42" s="4">
        <v>2023</v>
      </c>
      <c r="D42" s="2" t="s">
        <v>41</v>
      </c>
      <c r="E42" s="2" t="s">
        <v>17</v>
      </c>
      <c r="F42" s="2" t="s">
        <v>18</v>
      </c>
      <c r="G42" s="2" t="s">
        <v>31</v>
      </c>
      <c r="H42" s="2" t="s">
        <v>81</v>
      </c>
      <c r="I42" s="2" t="s">
        <v>148</v>
      </c>
      <c r="J42" s="5">
        <v>1</v>
      </c>
      <c r="K42" s="6">
        <v>140</v>
      </c>
      <c r="L42" s="6">
        <f t="shared" si="0"/>
        <v>140</v>
      </c>
      <c r="M42" s="7">
        <v>4.9000000000000002E-2</v>
      </c>
      <c r="N42" s="6">
        <f t="shared" si="1"/>
        <v>6.86</v>
      </c>
      <c r="O42" s="6">
        <f t="shared" si="2"/>
        <v>133.13999999999999</v>
      </c>
    </row>
    <row r="43" spans="1:15">
      <c r="A43" s="8" t="s">
        <v>149</v>
      </c>
      <c r="B43" s="9">
        <v>45058</v>
      </c>
      <c r="C43" s="10">
        <v>2023</v>
      </c>
      <c r="D43" s="8" t="s">
        <v>48</v>
      </c>
      <c r="E43" s="8" t="s">
        <v>24</v>
      </c>
      <c r="F43" s="8" t="s">
        <v>25</v>
      </c>
      <c r="G43" s="8" t="s">
        <v>31</v>
      </c>
      <c r="H43" s="8" t="s">
        <v>81</v>
      </c>
      <c r="I43" s="8" t="s">
        <v>148</v>
      </c>
      <c r="J43" s="11">
        <v>5</v>
      </c>
      <c r="K43" s="12">
        <v>310</v>
      </c>
      <c r="L43" s="12">
        <f t="shared" si="0"/>
        <v>1550</v>
      </c>
      <c r="M43" s="13">
        <v>0</v>
      </c>
      <c r="N43" s="12">
        <f t="shared" si="1"/>
        <v>0</v>
      </c>
      <c r="O43" s="12">
        <f t="shared" si="2"/>
        <v>1550</v>
      </c>
    </row>
    <row r="44" spans="1:15">
      <c r="A44" s="2" t="s">
        <v>150</v>
      </c>
      <c r="B44" s="3">
        <v>45943</v>
      </c>
      <c r="C44" s="4">
        <v>2025</v>
      </c>
      <c r="D44" s="2" t="s">
        <v>72</v>
      </c>
      <c r="E44" s="2" t="s">
        <v>17</v>
      </c>
      <c r="F44" s="2" t="s">
        <v>18</v>
      </c>
      <c r="G44" s="2" t="s">
        <v>57</v>
      </c>
      <c r="H44" s="2" t="s">
        <v>58</v>
      </c>
      <c r="I44" s="2" t="s">
        <v>151</v>
      </c>
      <c r="J44" s="5">
        <v>1</v>
      </c>
      <c r="K44" s="6">
        <v>2600</v>
      </c>
      <c r="L44" s="6">
        <f t="shared" si="0"/>
        <v>2600</v>
      </c>
      <c r="M44" s="7">
        <v>0</v>
      </c>
      <c r="N44" s="6">
        <f t="shared" si="1"/>
        <v>0</v>
      </c>
      <c r="O44" s="6">
        <f t="shared" si="2"/>
        <v>2600</v>
      </c>
    </row>
    <row r="45" spans="1:15">
      <c r="A45" s="8" t="s">
        <v>152</v>
      </c>
      <c r="B45" s="9">
        <v>45367</v>
      </c>
      <c r="C45" s="10">
        <v>2024</v>
      </c>
      <c r="D45" s="8" t="s">
        <v>78</v>
      </c>
      <c r="E45" s="8" t="s">
        <v>42</v>
      </c>
      <c r="F45" s="8" t="s">
        <v>43</v>
      </c>
      <c r="G45" s="8" t="s">
        <v>37</v>
      </c>
      <c r="H45" s="8" t="s">
        <v>91</v>
      </c>
      <c r="I45" s="8" t="s">
        <v>153</v>
      </c>
      <c r="J45" s="11">
        <v>1</v>
      </c>
      <c r="K45" s="12">
        <v>3950</v>
      </c>
      <c r="L45" s="12">
        <f t="shared" si="0"/>
        <v>3950</v>
      </c>
      <c r="M45" s="13">
        <v>6.8000000000000005E-2</v>
      </c>
      <c r="N45" s="12">
        <f t="shared" si="1"/>
        <v>268.60000000000002</v>
      </c>
      <c r="O45" s="12">
        <f t="shared" si="2"/>
        <v>3681.4</v>
      </c>
    </row>
    <row r="46" spans="1:15">
      <c r="A46" s="2" t="s">
        <v>154</v>
      </c>
      <c r="B46" s="3">
        <v>44995</v>
      </c>
      <c r="C46" s="4">
        <v>2023</v>
      </c>
      <c r="D46" s="2" t="s">
        <v>78</v>
      </c>
      <c r="E46" s="2" t="s">
        <v>17</v>
      </c>
      <c r="F46" s="2" t="s">
        <v>18</v>
      </c>
      <c r="G46" s="2" t="s">
        <v>53</v>
      </c>
      <c r="H46" s="2" t="s">
        <v>54</v>
      </c>
      <c r="I46" s="2" t="s">
        <v>55</v>
      </c>
      <c r="J46" s="5">
        <v>2</v>
      </c>
      <c r="K46" s="6">
        <v>3100</v>
      </c>
      <c r="L46" s="6">
        <f t="shared" si="0"/>
        <v>6200</v>
      </c>
      <c r="M46" s="7">
        <v>9.5000000000000001E-2</v>
      </c>
      <c r="N46" s="6">
        <f t="shared" si="1"/>
        <v>589</v>
      </c>
      <c r="O46" s="6">
        <f t="shared" si="2"/>
        <v>5611</v>
      </c>
    </row>
    <row r="47" spans="1:15">
      <c r="A47" s="8" t="s">
        <v>155</v>
      </c>
      <c r="B47" s="9">
        <v>45546</v>
      </c>
      <c r="C47" s="10">
        <v>2024</v>
      </c>
      <c r="D47" s="8" t="s">
        <v>123</v>
      </c>
      <c r="E47" s="8" t="s">
        <v>42</v>
      </c>
      <c r="F47" s="8" t="s">
        <v>43</v>
      </c>
      <c r="G47" s="8" t="s">
        <v>19</v>
      </c>
      <c r="H47" s="8" t="s">
        <v>116</v>
      </c>
      <c r="I47" s="8" t="s">
        <v>156</v>
      </c>
      <c r="J47" s="11">
        <v>8</v>
      </c>
      <c r="K47" s="12">
        <v>450</v>
      </c>
      <c r="L47" s="12">
        <f t="shared" si="0"/>
        <v>3600</v>
      </c>
      <c r="M47" s="13">
        <v>1.6E-2</v>
      </c>
      <c r="N47" s="12">
        <f t="shared" si="1"/>
        <v>57.6</v>
      </c>
      <c r="O47" s="12">
        <f t="shared" si="2"/>
        <v>3542.4</v>
      </c>
    </row>
    <row r="48" spans="1:15">
      <c r="A48" s="2" t="s">
        <v>157</v>
      </c>
      <c r="B48" s="3">
        <v>45882</v>
      </c>
      <c r="C48" s="4">
        <v>2025</v>
      </c>
      <c r="D48" s="2" t="s">
        <v>52</v>
      </c>
      <c r="E48" s="2" t="s">
        <v>17</v>
      </c>
      <c r="F48" s="2" t="s">
        <v>18</v>
      </c>
      <c r="G48" s="2" t="s">
        <v>64</v>
      </c>
      <c r="H48" s="2" t="s">
        <v>97</v>
      </c>
      <c r="I48" s="2" t="s">
        <v>98</v>
      </c>
      <c r="J48" s="5">
        <v>3</v>
      </c>
      <c r="K48" s="6">
        <v>2950</v>
      </c>
      <c r="L48" s="6">
        <f t="shared" si="0"/>
        <v>8850</v>
      </c>
      <c r="M48" s="7">
        <v>0</v>
      </c>
      <c r="N48" s="6">
        <f t="shared" si="1"/>
        <v>0</v>
      </c>
      <c r="O48" s="6">
        <f t="shared" si="2"/>
        <v>8850</v>
      </c>
    </row>
    <row r="49" spans="1:15">
      <c r="A49" s="8" t="s">
        <v>158</v>
      </c>
      <c r="B49" s="9">
        <v>45189</v>
      </c>
      <c r="C49" s="10">
        <v>2023</v>
      </c>
      <c r="D49" s="8" t="s">
        <v>123</v>
      </c>
      <c r="E49" s="8" t="s">
        <v>17</v>
      </c>
      <c r="F49" s="8" t="s">
        <v>18</v>
      </c>
      <c r="G49" s="8" t="s">
        <v>57</v>
      </c>
      <c r="H49" s="8" t="s">
        <v>58</v>
      </c>
      <c r="I49" s="8" t="s">
        <v>59</v>
      </c>
      <c r="J49" s="11">
        <v>2</v>
      </c>
      <c r="K49" s="12">
        <v>2750</v>
      </c>
      <c r="L49" s="12">
        <f t="shared" si="0"/>
        <v>5500</v>
      </c>
      <c r="M49" s="13">
        <v>0.217</v>
      </c>
      <c r="N49" s="12">
        <f t="shared" si="1"/>
        <v>1193.5</v>
      </c>
      <c r="O49" s="12">
        <f t="shared" si="2"/>
        <v>4306.5</v>
      </c>
    </row>
    <row r="50" spans="1:15">
      <c r="A50" s="2" t="s">
        <v>159</v>
      </c>
      <c r="B50" s="3">
        <v>44965</v>
      </c>
      <c r="C50" s="4">
        <v>2023</v>
      </c>
      <c r="D50" s="2" t="s">
        <v>23</v>
      </c>
      <c r="E50" s="2" t="s">
        <v>24</v>
      </c>
      <c r="F50" s="2" t="s">
        <v>25</v>
      </c>
      <c r="G50" s="2" t="s">
        <v>57</v>
      </c>
      <c r="H50" s="2" t="s">
        <v>131</v>
      </c>
      <c r="I50" s="2" t="s">
        <v>160</v>
      </c>
      <c r="J50" s="5">
        <v>1</v>
      </c>
      <c r="K50" s="6">
        <v>2200</v>
      </c>
      <c r="L50" s="6">
        <f t="shared" si="0"/>
        <v>2200</v>
      </c>
      <c r="M50" s="7">
        <v>0.19600000000000001</v>
      </c>
      <c r="N50" s="6">
        <f t="shared" si="1"/>
        <v>431.2</v>
      </c>
      <c r="O50" s="6">
        <f t="shared" si="2"/>
        <v>1768.8</v>
      </c>
    </row>
    <row r="51" spans="1:15">
      <c r="A51" s="8" t="s">
        <v>161</v>
      </c>
      <c r="B51" s="9">
        <v>45206</v>
      </c>
      <c r="C51" s="10">
        <v>2023</v>
      </c>
      <c r="D51" s="8" t="s">
        <v>72</v>
      </c>
      <c r="E51" s="8" t="s">
        <v>42</v>
      </c>
      <c r="F51" s="8" t="s">
        <v>43</v>
      </c>
      <c r="G51" s="8" t="s">
        <v>26</v>
      </c>
      <c r="H51" s="8" t="s">
        <v>113</v>
      </c>
      <c r="I51" s="8" t="s">
        <v>162</v>
      </c>
      <c r="J51" s="11">
        <v>2</v>
      </c>
      <c r="K51" s="12">
        <v>39500</v>
      </c>
      <c r="L51" s="12">
        <f t="shared" si="0"/>
        <v>79000</v>
      </c>
      <c r="M51" s="13">
        <v>0.14000000000000001</v>
      </c>
      <c r="N51" s="12">
        <f t="shared" si="1"/>
        <v>11060.000000000002</v>
      </c>
      <c r="O51" s="12">
        <f t="shared" si="2"/>
        <v>67940</v>
      </c>
    </row>
    <row r="52" spans="1:15">
      <c r="A52" s="2" t="s">
        <v>163</v>
      </c>
      <c r="B52" s="3">
        <v>45620</v>
      </c>
      <c r="C52" s="4">
        <v>2024</v>
      </c>
      <c r="D52" s="2" t="s">
        <v>41</v>
      </c>
      <c r="E52" s="2" t="s">
        <v>24</v>
      </c>
      <c r="F52" s="2" t="s">
        <v>25</v>
      </c>
      <c r="G52" s="2" t="s">
        <v>37</v>
      </c>
      <c r="H52" s="2" t="s">
        <v>49</v>
      </c>
      <c r="I52" s="2" t="s">
        <v>164</v>
      </c>
      <c r="J52" s="5">
        <v>2</v>
      </c>
      <c r="K52" s="6">
        <v>2200</v>
      </c>
      <c r="L52" s="6">
        <f t="shared" si="0"/>
        <v>4400</v>
      </c>
      <c r="M52" s="7">
        <v>0</v>
      </c>
      <c r="N52" s="6">
        <f t="shared" si="1"/>
        <v>0</v>
      </c>
      <c r="O52" s="6">
        <f t="shared" si="2"/>
        <v>4400</v>
      </c>
    </row>
    <row r="53" spans="1:15">
      <c r="A53" s="8" t="s">
        <v>165</v>
      </c>
      <c r="B53" s="9">
        <v>45326</v>
      </c>
      <c r="C53" s="10">
        <v>2024</v>
      </c>
      <c r="D53" s="8" t="s">
        <v>23</v>
      </c>
      <c r="E53" s="8" t="s">
        <v>42</v>
      </c>
      <c r="F53" s="8" t="s">
        <v>43</v>
      </c>
      <c r="G53" s="8" t="s">
        <v>57</v>
      </c>
      <c r="H53" s="8" t="s">
        <v>131</v>
      </c>
      <c r="I53" s="8" t="s">
        <v>166</v>
      </c>
      <c r="J53" s="11">
        <v>1</v>
      </c>
      <c r="K53" s="12">
        <v>1400</v>
      </c>
      <c r="L53" s="12">
        <f t="shared" si="0"/>
        <v>1400</v>
      </c>
      <c r="M53" s="13">
        <v>0.192</v>
      </c>
      <c r="N53" s="12">
        <f t="shared" si="1"/>
        <v>268.8</v>
      </c>
      <c r="O53" s="12">
        <f t="shared" si="2"/>
        <v>1131.2</v>
      </c>
    </row>
    <row r="54" spans="1:15">
      <c r="A54" s="2" t="s">
        <v>167</v>
      </c>
      <c r="B54" s="3">
        <v>45133</v>
      </c>
      <c r="C54" s="4">
        <v>2023</v>
      </c>
      <c r="D54" s="2" t="s">
        <v>68</v>
      </c>
      <c r="E54" s="2" t="s">
        <v>42</v>
      </c>
      <c r="F54" s="2" t="s">
        <v>43</v>
      </c>
      <c r="G54" s="2" t="s">
        <v>19</v>
      </c>
      <c r="H54" s="2" t="s">
        <v>116</v>
      </c>
      <c r="I54" s="2" t="s">
        <v>117</v>
      </c>
      <c r="J54" s="5">
        <v>1</v>
      </c>
      <c r="K54" s="6">
        <v>2300</v>
      </c>
      <c r="L54" s="6">
        <f t="shared" si="0"/>
        <v>2300</v>
      </c>
      <c r="M54" s="7">
        <v>0</v>
      </c>
      <c r="N54" s="6">
        <f t="shared" si="1"/>
        <v>0</v>
      </c>
      <c r="O54" s="6">
        <f t="shared" si="2"/>
        <v>2300</v>
      </c>
    </row>
    <row r="55" spans="1:15">
      <c r="A55" s="8" t="s">
        <v>168</v>
      </c>
      <c r="B55" s="9">
        <v>45298</v>
      </c>
      <c r="C55" s="10">
        <v>2024</v>
      </c>
      <c r="D55" s="8" t="s">
        <v>169</v>
      </c>
      <c r="E55" s="8" t="s">
        <v>17</v>
      </c>
      <c r="F55" s="8" t="s">
        <v>18</v>
      </c>
      <c r="G55" s="8" t="s">
        <v>64</v>
      </c>
      <c r="H55" s="8" t="s">
        <v>94</v>
      </c>
      <c r="I55" s="8" t="s">
        <v>170</v>
      </c>
      <c r="J55" s="11">
        <v>1</v>
      </c>
      <c r="K55" s="12">
        <v>800</v>
      </c>
      <c r="L55" s="12">
        <f t="shared" si="0"/>
        <v>800</v>
      </c>
      <c r="M55" s="13">
        <v>0.249</v>
      </c>
      <c r="N55" s="12">
        <f t="shared" si="1"/>
        <v>199.2</v>
      </c>
      <c r="O55" s="12">
        <f t="shared" si="2"/>
        <v>600.79999999999995</v>
      </c>
    </row>
    <row r="56" spans="1:15">
      <c r="A56" s="2" t="s">
        <v>171</v>
      </c>
      <c r="B56" s="3">
        <v>45047</v>
      </c>
      <c r="C56" s="4">
        <v>2023</v>
      </c>
      <c r="D56" s="2" t="s">
        <v>48</v>
      </c>
      <c r="E56" s="2" t="s">
        <v>35</v>
      </c>
      <c r="F56" s="2" t="s">
        <v>36</v>
      </c>
      <c r="G56" s="2" t="s">
        <v>31</v>
      </c>
      <c r="H56" s="2" t="s">
        <v>81</v>
      </c>
      <c r="I56" s="2" t="s">
        <v>172</v>
      </c>
      <c r="J56" s="5">
        <v>2</v>
      </c>
      <c r="K56" s="6">
        <v>1100</v>
      </c>
      <c r="L56" s="6">
        <f t="shared" si="0"/>
        <v>2200</v>
      </c>
      <c r="M56" s="7">
        <v>0</v>
      </c>
      <c r="N56" s="6">
        <f t="shared" si="1"/>
        <v>0</v>
      </c>
      <c r="O56" s="6">
        <f t="shared" si="2"/>
        <v>2200</v>
      </c>
    </row>
    <row r="57" spans="1:15">
      <c r="A57" s="8" t="s">
        <v>173</v>
      </c>
      <c r="B57" s="9">
        <v>45166</v>
      </c>
      <c r="C57" s="10">
        <v>2023</v>
      </c>
      <c r="D57" s="8" t="s">
        <v>52</v>
      </c>
      <c r="E57" s="8" t="s">
        <v>35</v>
      </c>
      <c r="F57" s="8" t="s">
        <v>36</v>
      </c>
      <c r="G57" s="8" t="s">
        <v>57</v>
      </c>
      <c r="H57" s="8" t="s">
        <v>58</v>
      </c>
      <c r="I57" s="8" t="s">
        <v>174</v>
      </c>
      <c r="J57" s="11">
        <v>1</v>
      </c>
      <c r="K57" s="12">
        <v>5000</v>
      </c>
      <c r="L57" s="12">
        <f t="shared" si="0"/>
        <v>5000</v>
      </c>
      <c r="M57" s="13">
        <v>0</v>
      </c>
      <c r="N57" s="12">
        <f t="shared" si="1"/>
        <v>0</v>
      </c>
      <c r="O57" s="12">
        <f t="shared" si="2"/>
        <v>5000</v>
      </c>
    </row>
    <row r="58" spans="1:15">
      <c r="A58" s="2" t="s">
        <v>175</v>
      </c>
      <c r="B58" s="3">
        <v>45562</v>
      </c>
      <c r="C58" s="4">
        <v>2024</v>
      </c>
      <c r="D58" s="2" t="s">
        <v>123</v>
      </c>
      <c r="E58" s="2" t="s">
        <v>35</v>
      </c>
      <c r="F58" s="2" t="s">
        <v>36</v>
      </c>
      <c r="G58" s="2" t="s">
        <v>44</v>
      </c>
      <c r="H58" s="2" t="s">
        <v>176</v>
      </c>
      <c r="I58" s="2" t="s">
        <v>177</v>
      </c>
      <c r="J58" s="5">
        <v>2</v>
      </c>
      <c r="K58" s="6">
        <v>1750</v>
      </c>
      <c r="L58" s="6">
        <f t="shared" si="0"/>
        <v>3500</v>
      </c>
      <c r="M58" s="7">
        <v>0</v>
      </c>
      <c r="N58" s="6">
        <f t="shared" si="1"/>
        <v>0</v>
      </c>
      <c r="O58" s="6">
        <f t="shared" si="2"/>
        <v>3500</v>
      </c>
    </row>
    <row r="59" spans="1:15">
      <c r="A59" s="8" t="s">
        <v>178</v>
      </c>
      <c r="B59" s="9">
        <v>45655</v>
      </c>
      <c r="C59" s="10">
        <v>2024</v>
      </c>
      <c r="D59" s="8" t="s">
        <v>16</v>
      </c>
      <c r="E59" s="8" t="s">
        <v>24</v>
      </c>
      <c r="F59" s="8" t="s">
        <v>25</v>
      </c>
      <c r="G59" s="8" t="s">
        <v>64</v>
      </c>
      <c r="H59" s="8" t="s">
        <v>65</v>
      </c>
      <c r="I59" s="8" t="s">
        <v>66</v>
      </c>
      <c r="J59" s="11">
        <v>2</v>
      </c>
      <c r="K59" s="12">
        <v>1300</v>
      </c>
      <c r="L59" s="12">
        <f t="shared" si="0"/>
        <v>2600</v>
      </c>
      <c r="M59" s="13">
        <v>0</v>
      </c>
      <c r="N59" s="12">
        <f t="shared" si="1"/>
        <v>0</v>
      </c>
      <c r="O59" s="12">
        <f t="shared" si="2"/>
        <v>2600</v>
      </c>
    </row>
    <row r="60" spans="1:15">
      <c r="A60" s="2" t="s">
        <v>179</v>
      </c>
      <c r="B60" s="3">
        <v>45837</v>
      </c>
      <c r="C60" s="4">
        <v>2025</v>
      </c>
      <c r="D60" s="2" t="s">
        <v>100</v>
      </c>
      <c r="E60" s="2" t="s">
        <v>35</v>
      </c>
      <c r="F60" s="2" t="s">
        <v>36</v>
      </c>
      <c r="G60" s="2" t="s">
        <v>26</v>
      </c>
      <c r="H60" s="2" t="s">
        <v>27</v>
      </c>
      <c r="I60" s="2" t="s">
        <v>28</v>
      </c>
      <c r="J60" s="5">
        <v>1</v>
      </c>
      <c r="K60" s="6">
        <v>22000</v>
      </c>
      <c r="L60" s="6">
        <f t="shared" si="0"/>
        <v>22000</v>
      </c>
      <c r="M60" s="7">
        <v>0</v>
      </c>
      <c r="N60" s="6">
        <f t="shared" si="1"/>
        <v>0</v>
      </c>
      <c r="O60" s="6">
        <f t="shared" si="2"/>
        <v>22000</v>
      </c>
    </row>
    <row r="61" spans="1:15">
      <c r="A61" s="8" t="s">
        <v>180</v>
      </c>
      <c r="B61" s="9">
        <v>45008</v>
      </c>
      <c r="C61" s="10">
        <v>2023</v>
      </c>
      <c r="D61" s="8" t="s">
        <v>78</v>
      </c>
      <c r="E61" s="8" t="s">
        <v>42</v>
      </c>
      <c r="F61" s="8" t="s">
        <v>43</v>
      </c>
      <c r="G61" s="8" t="s">
        <v>31</v>
      </c>
      <c r="H61" s="8" t="s">
        <v>81</v>
      </c>
      <c r="I61" s="8" t="s">
        <v>181</v>
      </c>
      <c r="J61" s="11">
        <v>6</v>
      </c>
      <c r="K61" s="12">
        <v>1100</v>
      </c>
      <c r="L61" s="12">
        <f t="shared" si="0"/>
        <v>6600</v>
      </c>
      <c r="M61" s="13">
        <v>0</v>
      </c>
      <c r="N61" s="12">
        <f t="shared" si="1"/>
        <v>0</v>
      </c>
      <c r="O61" s="12">
        <f t="shared" si="2"/>
        <v>6600</v>
      </c>
    </row>
    <row r="62" spans="1:15">
      <c r="A62" s="2" t="s">
        <v>182</v>
      </c>
      <c r="B62" s="3">
        <v>45776</v>
      </c>
      <c r="C62" s="4">
        <v>2025</v>
      </c>
      <c r="D62" s="2" t="s">
        <v>30</v>
      </c>
      <c r="E62" s="2" t="s">
        <v>42</v>
      </c>
      <c r="F62" s="2" t="s">
        <v>43</v>
      </c>
      <c r="G62" s="2" t="s">
        <v>37</v>
      </c>
      <c r="H62" s="2" t="s">
        <v>49</v>
      </c>
      <c r="I62" s="2" t="s">
        <v>164</v>
      </c>
      <c r="J62" s="5">
        <v>4</v>
      </c>
      <c r="K62" s="6">
        <v>300</v>
      </c>
      <c r="L62" s="6">
        <f t="shared" si="0"/>
        <v>1200</v>
      </c>
      <c r="M62" s="7">
        <v>0</v>
      </c>
      <c r="N62" s="6">
        <f t="shared" si="1"/>
        <v>0</v>
      </c>
      <c r="O62" s="6">
        <f t="shared" si="2"/>
        <v>1200</v>
      </c>
    </row>
    <row r="63" spans="1:15">
      <c r="A63" s="8" t="s">
        <v>183</v>
      </c>
      <c r="B63" s="9">
        <v>45651</v>
      </c>
      <c r="C63" s="10">
        <v>2024</v>
      </c>
      <c r="D63" s="8" t="s">
        <v>16</v>
      </c>
      <c r="E63" s="8" t="s">
        <v>42</v>
      </c>
      <c r="F63" s="8" t="s">
        <v>43</v>
      </c>
      <c r="G63" s="8" t="s">
        <v>57</v>
      </c>
      <c r="H63" s="8" t="s">
        <v>75</v>
      </c>
      <c r="I63" s="8" t="s">
        <v>184</v>
      </c>
      <c r="J63" s="11">
        <v>1</v>
      </c>
      <c r="K63" s="12">
        <v>5000</v>
      </c>
      <c r="L63" s="12">
        <f t="shared" si="0"/>
        <v>5000</v>
      </c>
      <c r="M63" s="13">
        <v>0.153</v>
      </c>
      <c r="N63" s="12">
        <f t="shared" si="1"/>
        <v>765</v>
      </c>
      <c r="O63" s="12">
        <f t="shared" si="2"/>
        <v>4235</v>
      </c>
    </row>
    <row r="64" spans="1:15">
      <c r="A64" s="2" t="s">
        <v>185</v>
      </c>
      <c r="B64" s="3">
        <v>45676</v>
      </c>
      <c r="C64" s="4">
        <v>2025</v>
      </c>
      <c r="D64" s="2" t="s">
        <v>169</v>
      </c>
      <c r="E64" s="2" t="s">
        <v>17</v>
      </c>
      <c r="F64" s="2" t="s">
        <v>18</v>
      </c>
      <c r="G64" s="2" t="s">
        <v>31</v>
      </c>
      <c r="H64" s="2" t="s">
        <v>81</v>
      </c>
      <c r="I64" s="2" t="s">
        <v>186</v>
      </c>
      <c r="J64" s="5">
        <v>2</v>
      </c>
      <c r="K64" s="6">
        <v>220</v>
      </c>
      <c r="L64" s="6">
        <f t="shared" si="0"/>
        <v>440</v>
      </c>
      <c r="M64" s="7">
        <v>2.5999999999999999E-2</v>
      </c>
      <c r="N64" s="6">
        <f t="shared" si="1"/>
        <v>11.44</v>
      </c>
      <c r="O64" s="6">
        <f t="shared" si="2"/>
        <v>428.56</v>
      </c>
    </row>
    <row r="65" spans="1:15">
      <c r="A65" s="8" t="s">
        <v>187</v>
      </c>
      <c r="B65" s="9">
        <v>45768</v>
      </c>
      <c r="C65" s="10">
        <v>2025</v>
      </c>
      <c r="D65" s="8" t="s">
        <v>30</v>
      </c>
      <c r="E65" s="8" t="s">
        <v>42</v>
      </c>
      <c r="F65" s="8" t="s">
        <v>43</v>
      </c>
      <c r="G65" s="8" t="s">
        <v>31</v>
      </c>
      <c r="H65" s="8" t="s">
        <v>124</v>
      </c>
      <c r="I65" s="8" t="s">
        <v>188</v>
      </c>
      <c r="J65" s="11">
        <v>3</v>
      </c>
      <c r="K65" s="12">
        <v>480</v>
      </c>
      <c r="L65" s="12">
        <f t="shared" si="0"/>
        <v>1440</v>
      </c>
      <c r="M65" s="13">
        <v>0</v>
      </c>
      <c r="N65" s="12">
        <f t="shared" si="1"/>
        <v>0</v>
      </c>
      <c r="O65" s="12">
        <f t="shared" si="2"/>
        <v>1440</v>
      </c>
    </row>
    <row r="66" spans="1:15">
      <c r="A66" s="2" t="s">
        <v>189</v>
      </c>
      <c r="B66" s="3">
        <v>45641</v>
      </c>
      <c r="C66" s="4">
        <v>2024</v>
      </c>
      <c r="D66" s="2" t="s">
        <v>16</v>
      </c>
      <c r="E66" s="2" t="s">
        <v>35</v>
      </c>
      <c r="F66" s="2" t="s">
        <v>36</v>
      </c>
      <c r="G66" s="2" t="s">
        <v>44</v>
      </c>
      <c r="H66" s="2" t="s">
        <v>45</v>
      </c>
      <c r="I66" s="2" t="s">
        <v>190</v>
      </c>
      <c r="J66" s="5">
        <v>4</v>
      </c>
      <c r="K66" s="6">
        <v>130</v>
      </c>
      <c r="L66" s="6">
        <f t="shared" ref="L66:L129" si="3">J66*K66</f>
        <v>520</v>
      </c>
      <c r="M66" s="7">
        <v>0</v>
      </c>
      <c r="N66" s="6">
        <f t="shared" ref="N66:N129" si="4">L66*M66</f>
        <v>0</v>
      </c>
      <c r="O66" s="6">
        <f t="shared" ref="O66:O129" si="5">L66-N66</f>
        <v>520</v>
      </c>
    </row>
    <row r="67" spans="1:15">
      <c r="A67" s="8" t="s">
        <v>191</v>
      </c>
      <c r="B67" s="9">
        <v>45023</v>
      </c>
      <c r="C67" s="10">
        <v>2023</v>
      </c>
      <c r="D67" s="8" t="s">
        <v>30</v>
      </c>
      <c r="E67" s="8" t="s">
        <v>35</v>
      </c>
      <c r="F67" s="8" t="s">
        <v>36</v>
      </c>
      <c r="G67" s="8" t="s">
        <v>53</v>
      </c>
      <c r="H67" s="8" t="s">
        <v>136</v>
      </c>
      <c r="I67" s="8" t="s">
        <v>137</v>
      </c>
      <c r="J67" s="11">
        <v>1</v>
      </c>
      <c r="K67" s="12">
        <v>1650</v>
      </c>
      <c r="L67" s="12">
        <f t="shared" si="3"/>
        <v>1650</v>
      </c>
      <c r="M67" s="13">
        <v>0.127</v>
      </c>
      <c r="N67" s="12">
        <f t="shared" si="4"/>
        <v>209.55</v>
      </c>
      <c r="O67" s="12">
        <f t="shared" si="5"/>
        <v>1440.45</v>
      </c>
    </row>
    <row r="68" spans="1:15">
      <c r="A68" s="2" t="s">
        <v>192</v>
      </c>
      <c r="B68" s="3">
        <v>45828</v>
      </c>
      <c r="C68" s="4">
        <v>2025</v>
      </c>
      <c r="D68" s="2" t="s">
        <v>100</v>
      </c>
      <c r="E68" s="2" t="s">
        <v>17</v>
      </c>
      <c r="F68" s="2" t="s">
        <v>18</v>
      </c>
      <c r="G68" s="2" t="s">
        <v>53</v>
      </c>
      <c r="H68" s="2" t="s">
        <v>193</v>
      </c>
      <c r="I68" s="2" t="s">
        <v>194</v>
      </c>
      <c r="J68" s="5">
        <v>1</v>
      </c>
      <c r="K68" s="6">
        <v>2450</v>
      </c>
      <c r="L68" s="6">
        <f t="shared" si="3"/>
        <v>2450</v>
      </c>
      <c r="M68" s="7">
        <v>8.2000000000000003E-2</v>
      </c>
      <c r="N68" s="6">
        <f t="shared" si="4"/>
        <v>200.9</v>
      </c>
      <c r="O68" s="6">
        <f t="shared" si="5"/>
        <v>2249.1</v>
      </c>
    </row>
    <row r="69" spans="1:15">
      <c r="A69" s="8" t="s">
        <v>195</v>
      </c>
      <c r="B69" s="9">
        <v>45032</v>
      </c>
      <c r="C69" s="10">
        <v>2023</v>
      </c>
      <c r="D69" s="8" t="s">
        <v>30</v>
      </c>
      <c r="E69" s="8" t="s">
        <v>24</v>
      </c>
      <c r="F69" s="8" t="s">
        <v>25</v>
      </c>
      <c r="G69" s="8" t="s">
        <v>26</v>
      </c>
      <c r="H69" s="8" t="s">
        <v>27</v>
      </c>
      <c r="I69" s="8" t="s">
        <v>196</v>
      </c>
      <c r="J69" s="11">
        <v>1</v>
      </c>
      <c r="K69" s="12">
        <v>63500</v>
      </c>
      <c r="L69" s="12">
        <f t="shared" si="3"/>
        <v>63500</v>
      </c>
      <c r="M69" s="13">
        <v>0</v>
      </c>
      <c r="N69" s="12">
        <f t="shared" si="4"/>
        <v>0</v>
      </c>
      <c r="O69" s="12">
        <f t="shared" si="5"/>
        <v>63500</v>
      </c>
    </row>
    <row r="70" spans="1:15">
      <c r="A70" s="2" t="s">
        <v>197</v>
      </c>
      <c r="B70" s="3">
        <v>45067</v>
      </c>
      <c r="C70" s="4">
        <v>2023</v>
      </c>
      <c r="D70" s="2" t="s">
        <v>48</v>
      </c>
      <c r="E70" s="2" t="s">
        <v>35</v>
      </c>
      <c r="F70" s="2" t="s">
        <v>36</v>
      </c>
      <c r="G70" s="2" t="s">
        <v>31</v>
      </c>
      <c r="H70" s="2" t="s">
        <v>32</v>
      </c>
      <c r="I70" s="2" t="s">
        <v>198</v>
      </c>
      <c r="J70" s="5">
        <v>3</v>
      </c>
      <c r="K70" s="6">
        <v>450</v>
      </c>
      <c r="L70" s="6">
        <f t="shared" si="3"/>
        <v>1350</v>
      </c>
      <c r="M70" s="7">
        <v>2.4E-2</v>
      </c>
      <c r="N70" s="6">
        <f t="shared" si="4"/>
        <v>32.4</v>
      </c>
      <c r="O70" s="6">
        <f t="shared" si="5"/>
        <v>1317.6</v>
      </c>
    </row>
    <row r="71" spans="1:15">
      <c r="A71" s="8" t="s">
        <v>199</v>
      </c>
      <c r="B71" s="9">
        <v>45204</v>
      </c>
      <c r="C71" s="10">
        <v>2023</v>
      </c>
      <c r="D71" s="8" t="s">
        <v>72</v>
      </c>
      <c r="E71" s="8" t="s">
        <v>17</v>
      </c>
      <c r="F71" s="8" t="s">
        <v>18</v>
      </c>
      <c r="G71" s="8" t="s">
        <v>57</v>
      </c>
      <c r="H71" s="8" t="s">
        <v>200</v>
      </c>
      <c r="I71" s="8" t="s">
        <v>201</v>
      </c>
      <c r="J71" s="11">
        <v>1</v>
      </c>
      <c r="K71" s="12">
        <v>1450</v>
      </c>
      <c r="L71" s="12">
        <f t="shared" si="3"/>
        <v>1450</v>
      </c>
      <c r="M71" s="13">
        <v>0</v>
      </c>
      <c r="N71" s="12">
        <f t="shared" si="4"/>
        <v>0</v>
      </c>
      <c r="O71" s="12">
        <f t="shared" si="5"/>
        <v>1450</v>
      </c>
    </row>
    <row r="72" spans="1:15">
      <c r="A72" s="2" t="s">
        <v>202</v>
      </c>
      <c r="B72" s="3">
        <v>45857</v>
      </c>
      <c r="C72" s="4">
        <v>2025</v>
      </c>
      <c r="D72" s="2" t="s">
        <v>68</v>
      </c>
      <c r="E72" s="2" t="s">
        <v>17</v>
      </c>
      <c r="F72" s="2" t="s">
        <v>18</v>
      </c>
      <c r="G72" s="2" t="s">
        <v>37</v>
      </c>
      <c r="H72" s="2" t="s">
        <v>38</v>
      </c>
      <c r="I72" s="2" t="s">
        <v>39</v>
      </c>
      <c r="J72" s="5">
        <v>5</v>
      </c>
      <c r="K72" s="6">
        <v>1700</v>
      </c>
      <c r="L72" s="6">
        <f t="shared" si="3"/>
        <v>8500</v>
      </c>
      <c r="M72" s="7">
        <v>0</v>
      </c>
      <c r="N72" s="6">
        <f t="shared" si="4"/>
        <v>0</v>
      </c>
      <c r="O72" s="6">
        <f t="shared" si="5"/>
        <v>8500</v>
      </c>
    </row>
    <row r="73" spans="1:15">
      <c r="A73" s="8" t="s">
        <v>203</v>
      </c>
      <c r="B73" s="9">
        <v>45937</v>
      </c>
      <c r="C73" s="10">
        <v>2025</v>
      </c>
      <c r="D73" s="8" t="s">
        <v>72</v>
      </c>
      <c r="E73" s="8" t="s">
        <v>42</v>
      </c>
      <c r="F73" s="8" t="s">
        <v>43</v>
      </c>
      <c r="G73" s="8" t="s">
        <v>37</v>
      </c>
      <c r="H73" s="8" t="s">
        <v>38</v>
      </c>
      <c r="I73" s="8" t="s">
        <v>39</v>
      </c>
      <c r="J73" s="11">
        <v>1</v>
      </c>
      <c r="K73" s="12">
        <v>2400</v>
      </c>
      <c r="L73" s="12">
        <f t="shared" si="3"/>
        <v>2400</v>
      </c>
      <c r="M73" s="13">
        <v>0</v>
      </c>
      <c r="N73" s="12">
        <f t="shared" si="4"/>
        <v>0</v>
      </c>
      <c r="O73" s="12">
        <f t="shared" si="5"/>
        <v>2400</v>
      </c>
    </row>
    <row r="74" spans="1:15">
      <c r="A74" s="2" t="s">
        <v>204</v>
      </c>
      <c r="B74" s="3">
        <v>45708</v>
      </c>
      <c r="C74" s="4">
        <v>2025</v>
      </c>
      <c r="D74" s="2" t="s">
        <v>23</v>
      </c>
      <c r="E74" s="2" t="s">
        <v>35</v>
      </c>
      <c r="F74" s="2" t="s">
        <v>36</v>
      </c>
      <c r="G74" s="2" t="s">
        <v>26</v>
      </c>
      <c r="H74" s="2" t="s">
        <v>27</v>
      </c>
      <c r="I74" s="2" t="s">
        <v>196</v>
      </c>
      <c r="J74" s="5">
        <v>1</v>
      </c>
      <c r="K74" s="6">
        <v>18000</v>
      </c>
      <c r="L74" s="6">
        <f t="shared" si="3"/>
        <v>18000</v>
      </c>
      <c r="M74" s="7">
        <v>0</v>
      </c>
      <c r="N74" s="6">
        <f t="shared" si="4"/>
        <v>0</v>
      </c>
      <c r="O74" s="6">
        <f t="shared" si="5"/>
        <v>18000</v>
      </c>
    </row>
    <row r="75" spans="1:15">
      <c r="A75" s="8" t="s">
        <v>205</v>
      </c>
      <c r="B75" s="9">
        <v>45754</v>
      </c>
      <c r="C75" s="10">
        <v>2025</v>
      </c>
      <c r="D75" s="8" t="s">
        <v>30</v>
      </c>
      <c r="E75" s="8" t="s">
        <v>24</v>
      </c>
      <c r="F75" s="8" t="s">
        <v>25</v>
      </c>
      <c r="G75" s="8" t="s">
        <v>64</v>
      </c>
      <c r="H75" s="8" t="s">
        <v>65</v>
      </c>
      <c r="I75" s="8" t="s">
        <v>206</v>
      </c>
      <c r="J75" s="11">
        <v>1</v>
      </c>
      <c r="K75" s="12">
        <v>470</v>
      </c>
      <c r="L75" s="12">
        <f t="shared" si="3"/>
        <v>470</v>
      </c>
      <c r="M75" s="13">
        <v>9.0999999999999998E-2</v>
      </c>
      <c r="N75" s="12">
        <f t="shared" si="4"/>
        <v>42.769999999999996</v>
      </c>
      <c r="O75" s="12">
        <f t="shared" si="5"/>
        <v>427.23</v>
      </c>
    </row>
    <row r="76" spans="1:15">
      <c r="A76" s="2" t="s">
        <v>207</v>
      </c>
      <c r="B76" s="3">
        <v>44929</v>
      </c>
      <c r="C76" s="4">
        <v>2023</v>
      </c>
      <c r="D76" s="2" t="s">
        <v>169</v>
      </c>
      <c r="E76" s="2" t="s">
        <v>17</v>
      </c>
      <c r="F76" s="2" t="s">
        <v>18</v>
      </c>
      <c r="G76" s="2" t="s">
        <v>53</v>
      </c>
      <c r="H76" s="2" t="s">
        <v>193</v>
      </c>
      <c r="I76" s="2" t="s">
        <v>208</v>
      </c>
      <c r="J76" s="5">
        <v>1</v>
      </c>
      <c r="K76" s="6">
        <v>400</v>
      </c>
      <c r="L76" s="6">
        <f t="shared" si="3"/>
        <v>400</v>
      </c>
      <c r="M76" s="7">
        <v>0</v>
      </c>
      <c r="N76" s="6">
        <f t="shared" si="4"/>
        <v>0</v>
      </c>
      <c r="O76" s="6">
        <f t="shared" si="5"/>
        <v>400</v>
      </c>
    </row>
    <row r="77" spans="1:15">
      <c r="A77" s="8" t="s">
        <v>209</v>
      </c>
      <c r="B77" s="9">
        <v>45567</v>
      </c>
      <c r="C77" s="10">
        <v>2024</v>
      </c>
      <c r="D77" s="8" t="s">
        <v>72</v>
      </c>
      <c r="E77" s="8" t="s">
        <v>42</v>
      </c>
      <c r="F77" s="8" t="s">
        <v>43</v>
      </c>
      <c r="G77" s="8" t="s">
        <v>19</v>
      </c>
      <c r="H77" s="8" t="s">
        <v>116</v>
      </c>
      <c r="I77" s="8" t="s">
        <v>210</v>
      </c>
      <c r="J77" s="11">
        <v>1</v>
      </c>
      <c r="K77" s="12">
        <v>2300</v>
      </c>
      <c r="L77" s="12">
        <f t="shared" si="3"/>
        <v>2300</v>
      </c>
      <c r="M77" s="13">
        <v>0</v>
      </c>
      <c r="N77" s="12">
        <f t="shared" si="4"/>
        <v>0</v>
      </c>
      <c r="O77" s="12">
        <f t="shared" si="5"/>
        <v>2300</v>
      </c>
    </row>
    <row r="78" spans="1:15">
      <c r="A78" s="2" t="s">
        <v>211</v>
      </c>
      <c r="B78" s="3">
        <v>45547</v>
      </c>
      <c r="C78" s="4">
        <v>2024</v>
      </c>
      <c r="D78" s="2" t="s">
        <v>123</v>
      </c>
      <c r="E78" s="2" t="s">
        <v>35</v>
      </c>
      <c r="F78" s="2" t="s">
        <v>36</v>
      </c>
      <c r="G78" s="2" t="s">
        <v>64</v>
      </c>
      <c r="H78" s="2" t="s">
        <v>97</v>
      </c>
      <c r="I78" s="2" t="s">
        <v>212</v>
      </c>
      <c r="J78" s="5">
        <v>1</v>
      </c>
      <c r="K78" s="6">
        <v>3600</v>
      </c>
      <c r="L78" s="6">
        <f t="shared" si="3"/>
        <v>3600</v>
      </c>
      <c r="M78" s="7">
        <v>0</v>
      </c>
      <c r="N78" s="6">
        <f t="shared" si="4"/>
        <v>0</v>
      </c>
      <c r="O78" s="6">
        <f t="shared" si="5"/>
        <v>3600</v>
      </c>
    </row>
    <row r="79" spans="1:15">
      <c r="A79" s="8" t="s">
        <v>213</v>
      </c>
      <c r="B79" s="9">
        <v>45521</v>
      </c>
      <c r="C79" s="10">
        <v>2024</v>
      </c>
      <c r="D79" s="8" t="s">
        <v>52</v>
      </c>
      <c r="E79" s="8" t="s">
        <v>24</v>
      </c>
      <c r="F79" s="8" t="s">
        <v>25</v>
      </c>
      <c r="G79" s="8" t="s">
        <v>26</v>
      </c>
      <c r="H79" s="8" t="s">
        <v>110</v>
      </c>
      <c r="I79" s="8" t="s">
        <v>214</v>
      </c>
      <c r="J79" s="11">
        <v>1</v>
      </c>
      <c r="K79" s="12">
        <v>58000</v>
      </c>
      <c r="L79" s="12">
        <f t="shared" si="3"/>
        <v>58000</v>
      </c>
      <c r="M79" s="13">
        <v>0.109</v>
      </c>
      <c r="N79" s="12">
        <f t="shared" si="4"/>
        <v>6322</v>
      </c>
      <c r="O79" s="12">
        <f t="shared" si="5"/>
        <v>51678</v>
      </c>
    </row>
    <row r="80" spans="1:15">
      <c r="A80" s="2" t="s">
        <v>215</v>
      </c>
      <c r="B80" s="3">
        <v>45295</v>
      </c>
      <c r="C80" s="4">
        <v>2024</v>
      </c>
      <c r="D80" s="2" t="s">
        <v>169</v>
      </c>
      <c r="E80" s="2" t="s">
        <v>17</v>
      </c>
      <c r="F80" s="2" t="s">
        <v>18</v>
      </c>
      <c r="G80" s="2" t="s">
        <v>31</v>
      </c>
      <c r="H80" s="2" t="s">
        <v>124</v>
      </c>
      <c r="I80" s="2" t="s">
        <v>125</v>
      </c>
      <c r="J80" s="5">
        <v>2</v>
      </c>
      <c r="K80" s="6">
        <v>350</v>
      </c>
      <c r="L80" s="6">
        <f t="shared" si="3"/>
        <v>700</v>
      </c>
      <c r="M80" s="7">
        <v>3.4000000000000002E-2</v>
      </c>
      <c r="N80" s="6">
        <f t="shared" si="4"/>
        <v>23.8</v>
      </c>
      <c r="O80" s="6">
        <f t="shared" si="5"/>
        <v>676.2</v>
      </c>
    </row>
    <row r="81" spans="1:15">
      <c r="A81" s="8" t="s">
        <v>216</v>
      </c>
      <c r="B81" s="9">
        <v>45653</v>
      </c>
      <c r="C81" s="10">
        <v>2024</v>
      </c>
      <c r="D81" s="8" t="s">
        <v>16</v>
      </c>
      <c r="E81" s="8" t="s">
        <v>24</v>
      </c>
      <c r="F81" s="8" t="s">
        <v>25</v>
      </c>
      <c r="G81" s="8" t="s">
        <v>44</v>
      </c>
      <c r="H81" s="8" t="s">
        <v>45</v>
      </c>
      <c r="I81" s="8" t="s">
        <v>217</v>
      </c>
      <c r="J81" s="11">
        <v>1</v>
      </c>
      <c r="K81" s="12">
        <v>1500</v>
      </c>
      <c r="L81" s="12">
        <f t="shared" si="3"/>
        <v>1500</v>
      </c>
      <c r="M81" s="13">
        <v>0</v>
      </c>
      <c r="N81" s="12">
        <f t="shared" si="4"/>
        <v>0</v>
      </c>
      <c r="O81" s="12">
        <f t="shared" si="5"/>
        <v>1500</v>
      </c>
    </row>
    <row r="82" spans="1:15">
      <c r="A82" s="2" t="s">
        <v>218</v>
      </c>
      <c r="B82" s="3">
        <v>45055</v>
      </c>
      <c r="C82" s="4">
        <v>2023</v>
      </c>
      <c r="D82" s="2" t="s">
        <v>48</v>
      </c>
      <c r="E82" s="2" t="s">
        <v>42</v>
      </c>
      <c r="F82" s="2" t="s">
        <v>43</v>
      </c>
      <c r="G82" s="2" t="s">
        <v>31</v>
      </c>
      <c r="H82" s="2" t="s">
        <v>124</v>
      </c>
      <c r="I82" s="2" t="s">
        <v>125</v>
      </c>
      <c r="J82" s="5">
        <v>8</v>
      </c>
      <c r="K82" s="6">
        <v>1150</v>
      </c>
      <c r="L82" s="6">
        <f t="shared" si="3"/>
        <v>9200</v>
      </c>
      <c r="M82" s="7">
        <v>0</v>
      </c>
      <c r="N82" s="6">
        <f t="shared" si="4"/>
        <v>0</v>
      </c>
      <c r="O82" s="6">
        <f t="shared" si="5"/>
        <v>9200</v>
      </c>
    </row>
    <row r="83" spans="1:15">
      <c r="A83" s="8" t="s">
        <v>219</v>
      </c>
      <c r="B83" s="9">
        <v>45218</v>
      </c>
      <c r="C83" s="10">
        <v>2023</v>
      </c>
      <c r="D83" s="8" t="s">
        <v>72</v>
      </c>
      <c r="E83" s="8" t="s">
        <v>24</v>
      </c>
      <c r="F83" s="8" t="s">
        <v>25</v>
      </c>
      <c r="G83" s="8" t="s">
        <v>37</v>
      </c>
      <c r="H83" s="8" t="s">
        <v>49</v>
      </c>
      <c r="I83" s="8" t="s">
        <v>50</v>
      </c>
      <c r="J83" s="11">
        <v>1</v>
      </c>
      <c r="K83" s="12">
        <v>370</v>
      </c>
      <c r="L83" s="12">
        <f t="shared" si="3"/>
        <v>370</v>
      </c>
      <c r="M83" s="13">
        <v>0</v>
      </c>
      <c r="N83" s="12">
        <f t="shared" si="4"/>
        <v>0</v>
      </c>
      <c r="O83" s="12">
        <f t="shared" si="5"/>
        <v>370</v>
      </c>
    </row>
    <row r="84" spans="1:15">
      <c r="A84" s="2" t="s">
        <v>220</v>
      </c>
      <c r="B84" s="3">
        <v>44933</v>
      </c>
      <c r="C84" s="4">
        <v>2023</v>
      </c>
      <c r="D84" s="2" t="s">
        <v>169</v>
      </c>
      <c r="E84" s="2" t="s">
        <v>24</v>
      </c>
      <c r="F84" s="2" t="s">
        <v>25</v>
      </c>
      <c r="G84" s="2" t="s">
        <v>19</v>
      </c>
      <c r="H84" s="2" t="s">
        <v>107</v>
      </c>
      <c r="I84" s="2" t="s">
        <v>221</v>
      </c>
      <c r="J84" s="5">
        <v>3</v>
      </c>
      <c r="K84" s="6">
        <v>380</v>
      </c>
      <c r="L84" s="6">
        <f t="shared" si="3"/>
        <v>1140</v>
      </c>
      <c r="M84" s="7">
        <v>0</v>
      </c>
      <c r="N84" s="6">
        <f t="shared" si="4"/>
        <v>0</v>
      </c>
      <c r="O84" s="6">
        <f t="shared" si="5"/>
        <v>1140</v>
      </c>
    </row>
    <row r="85" spans="1:15">
      <c r="A85" s="8" t="s">
        <v>222</v>
      </c>
      <c r="B85" s="9">
        <v>45810</v>
      </c>
      <c r="C85" s="10">
        <v>2025</v>
      </c>
      <c r="D85" s="8" t="s">
        <v>100</v>
      </c>
      <c r="E85" s="8" t="s">
        <v>35</v>
      </c>
      <c r="F85" s="8" t="s">
        <v>36</v>
      </c>
      <c r="G85" s="8" t="s">
        <v>44</v>
      </c>
      <c r="H85" s="8" t="s">
        <v>223</v>
      </c>
      <c r="I85" s="8" t="s">
        <v>224</v>
      </c>
      <c r="J85" s="11">
        <v>1</v>
      </c>
      <c r="K85" s="12">
        <v>950</v>
      </c>
      <c r="L85" s="12">
        <f t="shared" si="3"/>
        <v>950</v>
      </c>
      <c r="M85" s="13">
        <v>0</v>
      </c>
      <c r="N85" s="12">
        <f t="shared" si="4"/>
        <v>0</v>
      </c>
      <c r="O85" s="12">
        <f t="shared" si="5"/>
        <v>950</v>
      </c>
    </row>
    <row r="86" spans="1:15">
      <c r="A86" s="2" t="s">
        <v>225</v>
      </c>
      <c r="B86" s="3">
        <v>44976</v>
      </c>
      <c r="C86" s="4">
        <v>2023</v>
      </c>
      <c r="D86" s="2" t="s">
        <v>23</v>
      </c>
      <c r="E86" s="2" t="s">
        <v>42</v>
      </c>
      <c r="F86" s="2" t="s">
        <v>43</v>
      </c>
      <c r="G86" s="2" t="s">
        <v>57</v>
      </c>
      <c r="H86" s="2" t="s">
        <v>200</v>
      </c>
      <c r="I86" s="2" t="s">
        <v>201</v>
      </c>
      <c r="J86" s="5">
        <v>1</v>
      </c>
      <c r="K86" s="6">
        <v>2850</v>
      </c>
      <c r="L86" s="6">
        <f t="shared" si="3"/>
        <v>2850</v>
      </c>
      <c r="M86" s="7">
        <v>0</v>
      </c>
      <c r="N86" s="6">
        <f t="shared" si="4"/>
        <v>0</v>
      </c>
      <c r="O86" s="6">
        <f t="shared" si="5"/>
        <v>2850</v>
      </c>
    </row>
    <row r="87" spans="1:15">
      <c r="A87" s="8" t="s">
        <v>226</v>
      </c>
      <c r="B87" s="9">
        <v>45140</v>
      </c>
      <c r="C87" s="10">
        <v>2023</v>
      </c>
      <c r="D87" s="8" t="s">
        <v>52</v>
      </c>
      <c r="E87" s="8" t="s">
        <v>17</v>
      </c>
      <c r="F87" s="8" t="s">
        <v>18</v>
      </c>
      <c r="G87" s="8" t="s">
        <v>19</v>
      </c>
      <c r="H87" s="8" t="s">
        <v>107</v>
      </c>
      <c r="I87" s="8" t="s">
        <v>146</v>
      </c>
      <c r="J87" s="11">
        <v>5</v>
      </c>
      <c r="K87" s="12">
        <v>900</v>
      </c>
      <c r="L87" s="12">
        <f t="shared" si="3"/>
        <v>4500</v>
      </c>
      <c r="M87" s="13">
        <v>4.8000000000000001E-2</v>
      </c>
      <c r="N87" s="12">
        <f t="shared" si="4"/>
        <v>216</v>
      </c>
      <c r="O87" s="12">
        <f t="shared" si="5"/>
        <v>4284</v>
      </c>
    </row>
    <row r="88" spans="1:15">
      <c r="A88" s="2" t="s">
        <v>227</v>
      </c>
      <c r="B88" s="3">
        <v>45825</v>
      </c>
      <c r="C88" s="4">
        <v>2025</v>
      </c>
      <c r="D88" s="2" t="s">
        <v>100</v>
      </c>
      <c r="E88" s="2" t="s">
        <v>42</v>
      </c>
      <c r="F88" s="2" t="s">
        <v>43</v>
      </c>
      <c r="G88" s="2" t="s">
        <v>57</v>
      </c>
      <c r="H88" s="2" t="s">
        <v>58</v>
      </c>
      <c r="I88" s="2" t="s">
        <v>151</v>
      </c>
      <c r="J88" s="5">
        <v>3</v>
      </c>
      <c r="K88" s="6">
        <v>6500</v>
      </c>
      <c r="L88" s="6">
        <f t="shared" si="3"/>
        <v>19500</v>
      </c>
      <c r="M88" s="7">
        <v>0</v>
      </c>
      <c r="N88" s="6">
        <f t="shared" si="4"/>
        <v>0</v>
      </c>
      <c r="O88" s="6">
        <f t="shared" si="5"/>
        <v>19500</v>
      </c>
    </row>
    <row r="89" spans="1:15">
      <c r="A89" s="8" t="s">
        <v>228</v>
      </c>
      <c r="B89" s="9">
        <v>45741</v>
      </c>
      <c r="C89" s="10">
        <v>2025</v>
      </c>
      <c r="D89" s="8" t="s">
        <v>78</v>
      </c>
      <c r="E89" s="8" t="s">
        <v>35</v>
      </c>
      <c r="F89" s="8" t="s">
        <v>36</v>
      </c>
      <c r="G89" s="8" t="s">
        <v>26</v>
      </c>
      <c r="H89" s="8" t="s">
        <v>101</v>
      </c>
      <c r="I89" s="8" t="s">
        <v>229</v>
      </c>
      <c r="J89" s="11">
        <v>2</v>
      </c>
      <c r="K89" s="12">
        <v>36500</v>
      </c>
      <c r="L89" s="12">
        <f t="shared" si="3"/>
        <v>73000</v>
      </c>
      <c r="M89" s="13">
        <v>0</v>
      </c>
      <c r="N89" s="12">
        <f t="shared" si="4"/>
        <v>0</v>
      </c>
      <c r="O89" s="12">
        <f t="shared" si="5"/>
        <v>73000</v>
      </c>
    </row>
    <row r="90" spans="1:15">
      <c r="A90" s="2" t="s">
        <v>230</v>
      </c>
      <c r="B90" s="3">
        <v>45839</v>
      </c>
      <c r="C90" s="4">
        <v>2025</v>
      </c>
      <c r="D90" s="2" t="s">
        <v>68</v>
      </c>
      <c r="E90" s="2" t="s">
        <v>35</v>
      </c>
      <c r="F90" s="2" t="s">
        <v>36</v>
      </c>
      <c r="G90" s="2" t="s">
        <v>31</v>
      </c>
      <c r="H90" s="2" t="s">
        <v>32</v>
      </c>
      <c r="I90" s="2" t="s">
        <v>33</v>
      </c>
      <c r="J90" s="5">
        <v>2</v>
      </c>
      <c r="K90" s="6">
        <v>850</v>
      </c>
      <c r="L90" s="6">
        <f t="shared" si="3"/>
        <v>1700</v>
      </c>
      <c r="M90" s="7">
        <v>0</v>
      </c>
      <c r="N90" s="6">
        <f t="shared" si="4"/>
        <v>0</v>
      </c>
      <c r="O90" s="6">
        <f t="shared" si="5"/>
        <v>1700</v>
      </c>
    </row>
    <row r="91" spans="1:15">
      <c r="A91" s="8" t="s">
        <v>231</v>
      </c>
      <c r="B91" s="9">
        <v>45745</v>
      </c>
      <c r="C91" s="10">
        <v>2025</v>
      </c>
      <c r="D91" s="8" t="s">
        <v>78</v>
      </c>
      <c r="E91" s="8" t="s">
        <v>35</v>
      </c>
      <c r="F91" s="8" t="s">
        <v>36</v>
      </c>
      <c r="G91" s="8" t="s">
        <v>44</v>
      </c>
      <c r="H91" s="8" t="s">
        <v>61</v>
      </c>
      <c r="I91" s="8" t="s">
        <v>232</v>
      </c>
      <c r="J91" s="11">
        <v>1</v>
      </c>
      <c r="K91" s="12">
        <v>950</v>
      </c>
      <c r="L91" s="12">
        <f t="shared" si="3"/>
        <v>950</v>
      </c>
      <c r="M91" s="13">
        <v>0</v>
      </c>
      <c r="N91" s="12">
        <f t="shared" si="4"/>
        <v>0</v>
      </c>
      <c r="O91" s="12">
        <f t="shared" si="5"/>
        <v>950</v>
      </c>
    </row>
    <row r="92" spans="1:15">
      <c r="A92" s="2" t="s">
        <v>233</v>
      </c>
      <c r="B92" s="3">
        <v>45222</v>
      </c>
      <c r="C92" s="4">
        <v>2023</v>
      </c>
      <c r="D92" s="2" t="s">
        <v>72</v>
      </c>
      <c r="E92" s="2" t="s">
        <v>24</v>
      </c>
      <c r="F92" s="2" t="s">
        <v>25</v>
      </c>
      <c r="G92" s="2" t="s">
        <v>64</v>
      </c>
      <c r="H92" s="2" t="s">
        <v>65</v>
      </c>
      <c r="I92" s="2" t="s">
        <v>73</v>
      </c>
      <c r="J92" s="5">
        <v>1</v>
      </c>
      <c r="K92" s="6">
        <v>1050</v>
      </c>
      <c r="L92" s="6">
        <f t="shared" si="3"/>
        <v>1050</v>
      </c>
      <c r="M92" s="7">
        <v>0.3</v>
      </c>
      <c r="N92" s="6">
        <f t="shared" si="4"/>
        <v>315</v>
      </c>
      <c r="O92" s="6">
        <f t="shared" si="5"/>
        <v>735</v>
      </c>
    </row>
    <row r="93" spans="1:15">
      <c r="A93" s="8" t="s">
        <v>234</v>
      </c>
      <c r="B93" s="9">
        <v>45566</v>
      </c>
      <c r="C93" s="10">
        <v>2024</v>
      </c>
      <c r="D93" s="8" t="s">
        <v>72</v>
      </c>
      <c r="E93" s="8" t="s">
        <v>17</v>
      </c>
      <c r="F93" s="8" t="s">
        <v>18</v>
      </c>
      <c r="G93" s="8" t="s">
        <v>26</v>
      </c>
      <c r="H93" s="8" t="s">
        <v>101</v>
      </c>
      <c r="I93" s="8" t="s">
        <v>235</v>
      </c>
      <c r="J93" s="11">
        <v>2</v>
      </c>
      <c r="K93" s="12">
        <v>81500</v>
      </c>
      <c r="L93" s="12">
        <f t="shared" si="3"/>
        <v>163000</v>
      </c>
      <c r="M93" s="13">
        <v>0</v>
      </c>
      <c r="N93" s="12">
        <f t="shared" si="4"/>
        <v>0</v>
      </c>
      <c r="O93" s="12">
        <f t="shared" si="5"/>
        <v>163000</v>
      </c>
    </row>
    <row r="94" spans="1:15">
      <c r="A94" s="2" t="s">
        <v>236</v>
      </c>
      <c r="B94" s="3">
        <v>45644</v>
      </c>
      <c r="C94" s="4">
        <v>2024</v>
      </c>
      <c r="D94" s="2" t="s">
        <v>16</v>
      </c>
      <c r="E94" s="2" t="s">
        <v>35</v>
      </c>
      <c r="F94" s="2" t="s">
        <v>36</v>
      </c>
      <c r="G94" s="2" t="s">
        <v>26</v>
      </c>
      <c r="H94" s="2" t="s">
        <v>27</v>
      </c>
      <c r="I94" s="2" t="s">
        <v>237</v>
      </c>
      <c r="J94" s="5">
        <v>1</v>
      </c>
      <c r="K94" s="6">
        <v>55500</v>
      </c>
      <c r="L94" s="6">
        <f t="shared" si="3"/>
        <v>55500</v>
      </c>
      <c r="M94" s="7">
        <v>0</v>
      </c>
      <c r="N94" s="6">
        <f t="shared" si="4"/>
        <v>0</v>
      </c>
      <c r="O94" s="6">
        <f t="shared" si="5"/>
        <v>55500</v>
      </c>
    </row>
    <row r="95" spans="1:15">
      <c r="A95" s="8" t="s">
        <v>238</v>
      </c>
      <c r="B95" s="9">
        <v>45083</v>
      </c>
      <c r="C95" s="10">
        <v>2023</v>
      </c>
      <c r="D95" s="8" t="s">
        <v>100</v>
      </c>
      <c r="E95" s="8" t="s">
        <v>17</v>
      </c>
      <c r="F95" s="8" t="s">
        <v>18</v>
      </c>
      <c r="G95" s="8" t="s">
        <v>44</v>
      </c>
      <c r="H95" s="8" t="s">
        <v>223</v>
      </c>
      <c r="I95" s="8" t="s">
        <v>239</v>
      </c>
      <c r="J95" s="11">
        <v>1</v>
      </c>
      <c r="K95" s="12">
        <v>270</v>
      </c>
      <c r="L95" s="12">
        <f t="shared" si="3"/>
        <v>270</v>
      </c>
      <c r="M95" s="13">
        <v>0</v>
      </c>
      <c r="N95" s="12">
        <f t="shared" si="4"/>
        <v>0</v>
      </c>
      <c r="O95" s="12">
        <f t="shared" si="5"/>
        <v>270</v>
      </c>
    </row>
    <row r="96" spans="1:15">
      <c r="A96" s="2" t="s">
        <v>240</v>
      </c>
      <c r="B96" s="3">
        <v>45000</v>
      </c>
      <c r="C96" s="4">
        <v>2023</v>
      </c>
      <c r="D96" s="2" t="s">
        <v>78</v>
      </c>
      <c r="E96" s="2" t="s">
        <v>35</v>
      </c>
      <c r="F96" s="2" t="s">
        <v>36</v>
      </c>
      <c r="G96" s="2" t="s">
        <v>31</v>
      </c>
      <c r="H96" s="2" t="s">
        <v>124</v>
      </c>
      <c r="I96" s="2" t="s">
        <v>188</v>
      </c>
      <c r="J96" s="5">
        <v>2</v>
      </c>
      <c r="K96" s="6">
        <v>550</v>
      </c>
      <c r="L96" s="6">
        <f t="shared" si="3"/>
        <v>1100</v>
      </c>
      <c r="M96" s="7">
        <v>4.2999999999999997E-2</v>
      </c>
      <c r="N96" s="6">
        <f t="shared" si="4"/>
        <v>47.3</v>
      </c>
      <c r="O96" s="6">
        <f t="shared" si="5"/>
        <v>1052.7</v>
      </c>
    </row>
    <row r="97" spans="1:15">
      <c r="A97" s="8" t="s">
        <v>241</v>
      </c>
      <c r="B97" s="9">
        <v>45915</v>
      </c>
      <c r="C97" s="10">
        <v>2025</v>
      </c>
      <c r="D97" s="8" t="s">
        <v>123</v>
      </c>
      <c r="E97" s="8" t="s">
        <v>24</v>
      </c>
      <c r="F97" s="8" t="s">
        <v>25</v>
      </c>
      <c r="G97" s="8" t="s">
        <v>19</v>
      </c>
      <c r="H97" s="8" t="s">
        <v>107</v>
      </c>
      <c r="I97" s="8" t="s">
        <v>242</v>
      </c>
      <c r="J97" s="11">
        <v>3</v>
      </c>
      <c r="K97" s="12">
        <v>1250</v>
      </c>
      <c r="L97" s="12">
        <f t="shared" si="3"/>
        <v>3750</v>
      </c>
      <c r="M97" s="13">
        <v>0</v>
      </c>
      <c r="N97" s="12">
        <f t="shared" si="4"/>
        <v>0</v>
      </c>
      <c r="O97" s="12">
        <f t="shared" si="5"/>
        <v>3750</v>
      </c>
    </row>
    <row r="98" spans="1:15">
      <c r="A98" s="2" t="s">
        <v>243</v>
      </c>
      <c r="B98" s="3">
        <v>45205</v>
      </c>
      <c r="C98" s="4">
        <v>2023</v>
      </c>
      <c r="D98" s="2" t="s">
        <v>72</v>
      </c>
      <c r="E98" s="2" t="s">
        <v>24</v>
      </c>
      <c r="F98" s="2" t="s">
        <v>25</v>
      </c>
      <c r="G98" s="2" t="s">
        <v>44</v>
      </c>
      <c r="H98" s="2" t="s">
        <v>45</v>
      </c>
      <c r="I98" s="2" t="s">
        <v>46</v>
      </c>
      <c r="J98" s="5">
        <v>10</v>
      </c>
      <c r="K98" s="6">
        <v>450</v>
      </c>
      <c r="L98" s="6">
        <f t="shared" si="3"/>
        <v>4500</v>
      </c>
      <c r="M98" s="7">
        <v>0</v>
      </c>
      <c r="N98" s="6">
        <f t="shared" si="4"/>
        <v>0</v>
      </c>
      <c r="O98" s="6">
        <f t="shared" si="5"/>
        <v>4500</v>
      </c>
    </row>
    <row r="99" spans="1:15">
      <c r="A99" s="8" t="s">
        <v>244</v>
      </c>
      <c r="B99" s="9">
        <v>46013</v>
      </c>
      <c r="C99" s="10">
        <v>2025</v>
      </c>
      <c r="D99" s="8" t="s">
        <v>16</v>
      </c>
      <c r="E99" s="8" t="s">
        <v>17</v>
      </c>
      <c r="F99" s="8" t="s">
        <v>18</v>
      </c>
      <c r="G99" s="8" t="s">
        <v>53</v>
      </c>
      <c r="H99" s="8" t="s">
        <v>136</v>
      </c>
      <c r="I99" s="8" t="s">
        <v>245</v>
      </c>
      <c r="J99" s="11">
        <v>2</v>
      </c>
      <c r="K99" s="12">
        <v>2300</v>
      </c>
      <c r="L99" s="12">
        <f t="shared" si="3"/>
        <v>4600</v>
      </c>
      <c r="M99" s="13">
        <v>0</v>
      </c>
      <c r="N99" s="12">
        <f t="shared" si="4"/>
        <v>0</v>
      </c>
      <c r="O99" s="12">
        <f t="shared" si="5"/>
        <v>4600</v>
      </c>
    </row>
    <row r="100" spans="1:15">
      <c r="A100" s="2" t="s">
        <v>246</v>
      </c>
      <c r="B100" s="3">
        <v>45354</v>
      </c>
      <c r="C100" s="4">
        <v>2024</v>
      </c>
      <c r="D100" s="2" t="s">
        <v>78</v>
      </c>
      <c r="E100" s="2" t="s">
        <v>42</v>
      </c>
      <c r="F100" s="2" t="s">
        <v>43</v>
      </c>
      <c r="G100" s="2" t="s">
        <v>19</v>
      </c>
      <c r="H100" s="2" t="s">
        <v>141</v>
      </c>
      <c r="I100" s="2" t="s">
        <v>142</v>
      </c>
      <c r="J100" s="5">
        <v>2</v>
      </c>
      <c r="K100" s="6">
        <v>2400</v>
      </c>
      <c r="L100" s="6">
        <f t="shared" si="3"/>
        <v>4800</v>
      </c>
      <c r="M100" s="7">
        <v>0</v>
      </c>
      <c r="N100" s="6">
        <f t="shared" si="4"/>
        <v>0</v>
      </c>
      <c r="O100" s="6">
        <f t="shared" si="5"/>
        <v>4800</v>
      </c>
    </row>
    <row r="101" spans="1:15">
      <c r="A101" s="8" t="s">
        <v>247</v>
      </c>
      <c r="B101" s="9">
        <v>45041</v>
      </c>
      <c r="C101" s="10">
        <v>2023</v>
      </c>
      <c r="D101" s="8" t="s">
        <v>30</v>
      </c>
      <c r="E101" s="8" t="s">
        <v>17</v>
      </c>
      <c r="F101" s="8" t="s">
        <v>18</v>
      </c>
      <c r="G101" s="8" t="s">
        <v>19</v>
      </c>
      <c r="H101" s="8" t="s">
        <v>69</v>
      </c>
      <c r="I101" s="8" t="s">
        <v>248</v>
      </c>
      <c r="J101" s="11">
        <v>2</v>
      </c>
      <c r="K101" s="12">
        <v>1450</v>
      </c>
      <c r="L101" s="12">
        <f t="shared" si="3"/>
        <v>2900</v>
      </c>
      <c r="M101" s="13">
        <v>1.4E-2</v>
      </c>
      <c r="N101" s="12">
        <f t="shared" si="4"/>
        <v>40.6</v>
      </c>
      <c r="O101" s="12">
        <f t="shared" si="5"/>
        <v>2859.4</v>
      </c>
    </row>
    <row r="102" spans="1:15">
      <c r="A102" s="2" t="s">
        <v>249</v>
      </c>
      <c r="B102" s="3">
        <v>45142</v>
      </c>
      <c r="C102" s="4">
        <v>2023</v>
      </c>
      <c r="D102" s="2" t="s">
        <v>52</v>
      </c>
      <c r="E102" s="2" t="s">
        <v>17</v>
      </c>
      <c r="F102" s="2" t="s">
        <v>18</v>
      </c>
      <c r="G102" s="2" t="s">
        <v>19</v>
      </c>
      <c r="H102" s="2" t="s">
        <v>20</v>
      </c>
      <c r="I102" s="2" t="s">
        <v>250</v>
      </c>
      <c r="J102" s="5">
        <v>2</v>
      </c>
      <c r="K102" s="6">
        <v>1350</v>
      </c>
      <c r="L102" s="6">
        <f t="shared" si="3"/>
        <v>2700</v>
      </c>
      <c r="M102" s="7">
        <v>1.7000000000000001E-2</v>
      </c>
      <c r="N102" s="6">
        <f t="shared" si="4"/>
        <v>45.900000000000006</v>
      </c>
      <c r="O102" s="6">
        <f t="shared" si="5"/>
        <v>2654.1</v>
      </c>
    </row>
    <row r="103" spans="1:15">
      <c r="A103" s="8" t="s">
        <v>251</v>
      </c>
      <c r="B103" s="9">
        <v>45758</v>
      </c>
      <c r="C103" s="10">
        <v>2025</v>
      </c>
      <c r="D103" s="8" t="s">
        <v>30</v>
      </c>
      <c r="E103" s="8" t="s">
        <v>35</v>
      </c>
      <c r="F103" s="8" t="s">
        <v>36</v>
      </c>
      <c r="G103" s="8" t="s">
        <v>44</v>
      </c>
      <c r="H103" s="8" t="s">
        <v>61</v>
      </c>
      <c r="I103" s="8" t="s">
        <v>232</v>
      </c>
      <c r="J103" s="11">
        <v>4</v>
      </c>
      <c r="K103" s="12">
        <v>400</v>
      </c>
      <c r="L103" s="12">
        <f t="shared" si="3"/>
        <v>1600</v>
      </c>
      <c r="M103" s="13">
        <v>7.4999999999999997E-2</v>
      </c>
      <c r="N103" s="12">
        <f t="shared" si="4"/>
        <v>120</v>
      </c>
      <c r="O103" s="12">
        <f t="shared" si="5"/>
        <v>1480</v>
      </c>
    </row>
    <row r="104" spans="1:15">
      <c r="A104" s="2" t="s">
        <v>252</v>
      </c>
      <c r="B104" s="3">
        <v>44991</v>
      </c>
      <c r="C104" s="4">
        <v>2023</v>
      </c>
      <c r="D104" s="2" t="s">
        <v>78</v>
      </c>
      <c r="E104" s="2" t="s">
        <v>24</v>
      </c>
      <c r="F104" s="2" t="s">
        <v>25</v>
      </c>
      <c r="G104" s="2" t="s">
        <v>57</v>
      </c>
      <c r="H104" s="2" t="s">
        <v>75</v>
      </c>
      <c r="I104" s="2" t="s">
        <v>184</v>
      </c>
      <c r="J104" s="5">
        <v>2</v>
      </c>
      <c r="K104" s="6">
        <v>2150</v>
      </c>
      <c r="L104" s="6">
        <f t="shared" si="3"/>
        <v>4300</v>
      </c>
      <c r="M104" s="7">
        <v>0</v>
      </c>
      <c r="N104" s="6">
        <f t="shared" si="4"/>
        <v>0</v>
      </c>
      <c r="O104" s="6">
        <f t="shared" si="5"/>
        <v>4300</v>
      </c>
    </row>
    <row r="105" spans="1:15">
      <c r="A105" s="8" t="s">
        <v>253</v>
      </c>
      <c r="B105" s="9">
        <v>45834</v>
      </c>
      <c r="C105" s="10">
        <v>2025</v>
      </c>
      <c r="D105" s="8" t="s">
        <v>100</v>
      </c>
      <c r="E105" s="8" t="s">
        <v>17</v>
      </c>
      <c r="F105" s="8" t="s">
        <v>18</v>
      </c>
      <c r="G105" s="8" t="s">
        <v>44</v>
      </c>
      <c r="H105" s="8" t="s">
        <v>176</v>
      </c>
      <c r="I105" s="8" t="s">
        <v>177</v>
      </c>
      <c r="J105" s="11">
        <v>2</v>
      </c>
      <c r="K105" s="12">
        <v>550</v>
      </c>
      <c r="L105" s="12">
        <f t="shared" si="3"/>
        <v>1100</v>
      </c>
      <c r="M105" s="13">
        <v>0</v>
      </c>
      <c r="N105" s="12">
        <f t="shared" si="4"/>
        <v>0</v>
      </c>
      <c r="O105" s="12">
        <f t="shared" si="5"/>
        <v>1100</v>
      </c>
    </row>
    <row r="106" spans="1:15">
      <c r="A106" s="2" t="s">
        <v>254</v>
      </c>
      <c r="B106" s="3">
        <v>45869</v>
      </c>
      <c r="C106" s="4">
        <v>2025</v>
      </c>
      <c r="D106" s="2" t="s">
        <v>68</v>
      </c>
      <c r="E106" s="2" t="s">
        <v>42</v>
      </c>
      <c r="F106" s="2" t="s">
        <v>43</v>
      </c>
      <c r="G106" s="2" t="s">
        <v>64</v>
      </c>
      <c r="H106" s="2" t="s">
        <v>127</v>
      </c>
      <c r="I106" s="2" t="s">
        <v>255</v>
      </c>
      <c r="J106" s="5">
        <v>1</v>
      </c>
      <c r="K106" s="6">
        <v>1550</v>
      </c>
      <c r="L106" s="6">
        <f t="shared" si="3"/>
        <v>1550</v>
      </c>
      <c r="M106" s="7">
        <v>0</v>
      </c>
      <c r="N106" s="6">
        <f t="shared" si="4"/>
        <v>0</v>
      </c>
      <c r="O106" s="6">
        <f t="shared" si="5"/>
        <v>1550</v>
      </c>
    </row>
    <row r="107" spans="1:15">
      <c r="A107" s="8" t="s">
        <v>256</v>
      </c>
      <c r="B107" s="9">
        <v>45387</v>
      </c>
      <c r="C107" s="10">
        <v>2024</v>
      </c>
      <c r="D107" s="8" t="s">
        <v>30</v>
      </c>
      <c r="E107" s="8" t="s">
        <v>35</v>
      </c>
      <c r="F107" s="8" t="s">
        <v>36</v>
      </c>
      <c r="G107" s="8" t="s">
        <v>31</v>
      </c>
      <c r="H107" s="8" t="s">
        <v>32</v>
      </c>
      <c r="I107" s="8" t="s">
        <v>257</v>
      </c>
      <c r="J107" s="11">
        <v>6</v>
      </c>
      <c r="K107" s="12">
        <v>1200</v>
      </c>
      <c r="L107" s="12">
        <f t="shared" si="3"/>
        <v>7200</v>
      </c>
      <c r="M107" s="13">
        <v>4.9000000000000002E-2</v>
      </c>
      <c r="N107" s="12">
        <f t="shared" si="4"/>
        <v>352.8</v>
      </c>
      <c r="O107" s="12">
        <f t="shared" si="5"/>
        <v>6847.2</v>
      </c>
    </row>
    <row r="108" spans="1:15">
      <c r="A108" s="2" t="s">
        <v>258</v>
      </c>
      <c r="B108" s="3">
        <v>45254</v>
      </c>
      <c r="C108" s="4">
        <v>2023</v>
      </c>
      <c r="D108" s="2" t="s">
        <v>41</v>
      </c>
      <c r="E108" s="2" t="s">
        <v>24</v>
      </c>
      <c r="F108" s="2" t="s">
        <v>25</v>
      </c>
      <c r="G108" s="2" t="s">
        <v>57</v>
      </c>
      <c r="H108" s="2" t="s">
        <v>131</v>
      </c>
      <c r="I108" s="2" t="s">
        <v>160</v>
      </c>
      <c r="J108" s="5">
        <v>2</v>
      </c>
      <c r="K108" s="6">
        <v>3800</v>
      </c>
      <c r="L108" s="6">
        <f t="shared" si="3"/>
        <v>7600</v>
      </c>
      <c r="M108" s="7">
        <v>0</v>
      </c>
      <c r="N108" s="6">
        <f t="shared" si="4"/>
        <v>0</v>
      </c>
      <c r="O108" s="6">
        <f t="shared" si="5"/>
        <v>7600</v>
      </c>
    </row>
    <row r="109" spans="1:15">
      <c r="A109" s="8" t="s">
        <v>259</v>
      </c>
      <c r="B109" s="9">
        <v>45581</v>
      </c>
      <c r="C109" s="10">
        <v>2024</v>
      </c>
      <c r="D109" s="8" t="s">
        <v>72</v>
      </c>
      <c r="E109" s="8" t="s">
        <v>17</v>
      </c>
      <c r="F109" s="8" t="s">
        <v>18</v>
      </c>
      <c r="G109" s="8" t="s">
        <v>31</v>
      </c>
      <c r="H109" s="8" t="s">
        <v>84</v>
      </c>
      <c r="I109" s="8" t="s">
        <v>85</v>
      </c>
      <c r="J109" s="11">
        <v>1</v>
      </c>
      <c r="K109" s="12">
        <v>900</v>
      </c>
      <c r="L109" s="12">
        <f t="shared" si="3"/>
        <v>900</v>
      </c>
      <c r="M109" s="13">
        <v>0</v>
      </c>
      <c r="N109" s="12">
        <f t="shared" si="4"/>
        <v>0</v>
      </c>
      <c r="O109" s="12">
        <f t="shared" si="5"/>
        <v>900</v>
      </c>
    </row>
    <row r="110" spans="1:15">
      <c r="A110" s="2" t="s">
        <v>260</v>
      </c>
      <c r="B110" s="3">
        <v>45425</v>
      </c>
      <c r="C110" s="4">
        <v>2024</v>
      </c>
      <c r="D110" s="2" t="s">
        <v>48</v>
      </c>
      <c r="E110" s="2" t="s">
        <v>42</v>
      </c>
      <c r="F110" s="2" t="s">
        <v>43</v>
      </c>
      <c r="G110" s="2" t="s">
        <v>64</v>
      </c>
      <c r="H110" s="2" t="s">
        <v>127</v>
      </c>
      <c r="I110" s="2" t="s">
        <v>255</v>
      </c>
      <c r="J110" s="5">
        <v>1</v>
      </c>
      <c r="K110" s="6">
        <v>4300</v>
      </c>
      <c r="L110" s="6">
        <f t="shared" si="3"/>
        <v>4300</v>
      </c>
      <c r="M110" s="7">
        <v>0</v>
      </c>
      <c r="N110" s="6">
        <f t="shared" si="4"/>
        <v>0</v>
      </c>
      <c r="O110" s="6">
        <f t="shared" si="5"/>
        <v>4300</v>
      </c>
    </row>
    <row r="111" spans="1:15">
      <c r="A111" s="8" t="s">
        <v>261</v>
      </c>
      <c r="B111" s="9">
        <v>45596</v>
      </c>
      <c r="C111" s="10">
        <v>2024</v>
      </c>
      <c r="D111" s="8" t="s">
        <v>72</v>
      </c>
      <c r="E111" s="8" t="s">
        <v>35</v>
      </c>
      <c r="F111" s="8" t="s">
        <v>36</v>
      </c>
      <c r="G111" s="8" t="s">
        <v>19</v>
      </c>
      <c r="H111" s="8" t="s">
        <v>107</v>
      </c>
      <c r="I111" s="8" t="s">
        <v>242</v>
      </c>
      <c r="J111" s="11">
        <v>6</v>
      </c>
      <c r="K111" s="12">
        <v>1050</v>
      </c>
      <c r="L111" s="12">
        <f t="shared" si="3"/>
        <v>6300</v>
      </c>
      <c r="M111" s="13">
        <v>0</v>
      </c>
      <c r="N111" s="12">
        <f t="shared" si="4"/>
        <v>0</v>
      </c>
      <c r="O111" s="12">
        <f t="shared" si="5"/>
        <v>6300</v>
      </c>
    </row>
    <row r="112" spans="1:15">
      <c r="A112" s="2" t="s">
        <v>262</v>
      </c>
      <c r="B112" s="3">
        <v>45872</v>
      </c>
      <c r="C112" s="4">
        <v>2025</v>
      </c>
      <c r="D112" s="2" t="s">
        <v>52</v>
      </c>
      <c r="E112" s="2" t="s">
        <v>24</v>
      </c>
      <c r="F112" s="2" t="s">
        <v>25</v>
      </c>
      <c r="G112" s="2" t="s">
        <v>19</v>
      </c>
      <c r="H112" s="2" t="s">
        <v>107</v>
      </c>
      <c r="I112" s="2" t="s">
        <v>221</v>
      </c>
      <c r="J112" s="5">
        <v>1</v>
      </c>
      <c r="K112" s="6">
        <v>1650</v>
      </c>
      <c r="L112" s="6">
        <f t="shared" si="3"/>
        <v>1650</v>
      </c>
      <c r="M112" s="7">
        <v>0</v>
      </c>
      <c r="N112" s="6">
        <f t="shared" si="4"/>
        <v>0</v>
      </c>
      <c r="O112" s="6">
        <f t="shared" si="5"/>
        <v>1650</v>
      </c>
    </row>
    <row r="113" spans="1:15">
      <c r="A113" s="8" t="s">
        <v>263</v>
      </c>
      <c r="B113" s="9">
        <v>44935</v>
      </c>
      <c r="C113" s="10">
        <v>2023</v>
      </c>
      <c r="D113" s="8" t="s">
        <v>169</v>
      </c>
      <c r="E113" s="8" t="s">
        <v>35</v>
      </c>
      <c r="F113" s="8" t="s">
        <v>36</v>
      </c>
      <c r="G113" s="8" t="s">
        <v>31</v>
      </c>
      <c r="H113" s="8" t="s">
        <v>124</v>
      </c>
      <c r="I113" s="8" t="s">
        <v>264</v>
      </c>
      <c r="J113" s="11">
        <v>4</v>
      </c>
      <c r="K113" s="12">
        <v>300</v>
      </c>
      <c r="L113" s="12">
        <f t="shared" si="3"/>
        <v>1200</v>
      </c>
      <c r="M113" s="13">
        <v>0</v>
      </c>
      <c r="N113" s="12">
        <f t="shared" si="4"/>
        <v>0</v>
      </c>
      <c r="O113" s="12">
        <f t="shared" si="5"/>
        <v>1200</v>
      </c>
    </row>
    <row r="114" spans="1:15">
      <c r="A114" s="2" t="s">
        <v>265</v>
      </c>
      <c r="B114" s="3">
        <v>46011</v>
      </c>
      <c r="C114" s="4">
        <v>2025</v>
      </c>
      <c r="D114" s="2" t="s">
        <v>16</v>
      </c>
      <c r="E114" s="2" t="s">
        <v>35</v>
      </c>
      <c r="F114" s="2" t="s">
        <v>36</v>
      </c>
      <c r="G114" s="2" t="s">
        <v>31</v>
      </c>
      <c r="H114" s="2" t="s">
        <v>124</v>
      </c>
      <c r="I114" s="2" t="s">
        <v>266</v>
      </c>
      <c r="J114" s="5">
        <v>1</v>
      </c>
      <c r="K114" s="6">
        <v>550</v>
      </c>
      <c r="L114" s="6">
        <f t="shared" si="3"/>
        <v>550</v>
      </c>
      <c r="M114" s="7">
        <v>0</v>
      </c>
      <c r="N114" s="6">
        <f t="shared" si="4"/>
        <v>0</v>
      </c>
      <c r="O114" s="6">
        <f t="shared" si="5"/>
        <v>550</v>
      </c>
    </row>
    <row r="115" spans="1:15">
      <c r="A115" s="8" t="s">
        <v>267</v>
      </c>
      <c r="B115" s="9">
        <v>45326</v>
      </c>
      <c r="C115" s="10">
        <v>2024</v>
      </c>
      <c r="D115" s="8" t="s">
        <v>23</v>
      </c>
      <c r="E115" s="8" t="s">
        <v>35</v>
      </c>
      <c r="F115" s="8" t="s">
        <v>36</v>
      </c>
      <c r="G115" s="8" t="s">
        <v>53</v>
      </c>
      <c r="H115" s="8" t="s">
        <v>54</v>
      </c>
      <c r="I115" s="8" t="s">
        <v>268</v>
      </c>
      <c r="J115" s="11">
        <v>2</v>
      </c>
      <c r="K115" s="12">
        <v>3700</v>
      </c>
      <c r="L115" s="12">
        <f t="shared" si="3"/>
        <v>7400</v>
      </c>
      <c r="M115" s="13">
        <v>7.2999999999999995E-2</v>
      </c>
      <c r="N115" s="12">
        <f t="shared" si="4"/>
        <v>540.19999999999993</v>
      </c>
      <c r="O115" s="12">
        <f t="shared" si="5"/>
        <v>6859.8</v>
      </c>
    </row>
    <row r="116" spans="1:15">
      <c r="A116" s="2" t="s">
        <v>269</v>
      </c>
      <c r="B116" s="3">
        <v>45556</v>
      </c>
      <c r="C116" s="4">
        <v>2024</v>
      </c>
      <c r="D116" s="2" t="s">
        <v>123</v>
      </c>
      <c r="E116" s="2" t="s">
        <v>24</v>
      </c>
      <c r="F116" s="2" t="s">
        <v>25</v>
      </c>
      <c r="G116" s="2" t="s">
        <v>37</v>
      </c>
      <c r="H116" s="2" t="s">
        <v>49</v>
      </c>
      <c r="I116" s="2" t="s">
        <v>164</v>
      </c>
      <c r="J116" s="5">
        <v>1</v>
      </c>
      <c r="K116" s="6">
        <v>420</v>
      </c>
      <c r="L116" s="6">
        <f t="shared" si="3"/>
        <v>420</v>
      </c>
      <c r="M116" s="7">
        <v>0.05</v>
      </c>
      <c r="N116" s="6">
        <f t="shared" si="4"/>
        <v>21</v>
      </c>
      <c r="O116" s="6">
        <f t="shared" si="5"/>
        <v>399</v>
      </c>
    </row>
    <row r="117" spans="1:15">
      <c r="A117" s="8" t="s">
        <v>270</v>
      </c>
      <c r="B117" s="9">
        <v>45616</v>
      </c>
      <c r="C117" s="10">
        <v>2024</v>
      </c>
      <c r="D117" s="8" t="s">
        <v>41</v>
      </c>
      <c r="E117" s="8" t="s">
        <v>42</v>
      </c>
      <c r="F117" s="8" t="s">
        <v>43</v>
      </c>
      <c r="G117" s="8" t="s">
        <v>19</v>
      </c>
      <c r="H117" s="8" t="s">
        <v>271</v>
      </c>
      <c r="I117" s="8" t="s">
        <v>272</v>
      </c>
      <c r="J117" s="11">
        <v>1</v>
      </c>
      <c r="K117" s="12">
        <v>1950</v>
      </c>
      <c r="L117" s="12">
        <f t="shared" si="3"/>
        <v>1950</v>
      </c>
      <c r="M117" s="13">
        <v>0</v>
      </c>
      <c r="N117" s="12">
        <f t="shared" si="4"/>
        <v>0</v>
      </c>
      <c r="O117" s="12">
        <f t="shared" si="5"/>
        <v>1950</v>
      </c>
    </row>
    <row r="118" spans="1:15">
      <c r="A118" s="2" t="s">
        <v>273</v>
      </c>
      <c r="B118" s="3">
        <v>45241</v>
      </c>
      <c r="C118" s="4">
        <v>2023</v>
      </c>
      <c r="D118" s="2" t="s">
        <v>41</v>
      </c>
      <c r="E118" s="2" t="s">
        <v>35</v>
      </c>
      <c r="F118" s="2" t="s">
        <v>36</v>
      </c>
      <c r="G118" s="2" t="s">
        <v>57</v>
      </c>
      <c r="H118" s="2" t="s">
        <v>58</v>
      </c>
      <c r="I118" s="2" t="s">
        <v>87</v>
      </c>
      <c r="J118" s="5">
        <v>1</v>
      </c>
      <c r="K118" s="6">
        <v>2800</v>
      </c>
      <c r="L118" s="6">
        <f t="shared" si="3"/>
        <v>2800</v>
      </c>
      <c r="M118" s="7">
        <v>0</v>
      </c>
      <c r="N118" s="6">
        <f t="shared" si="4"/>
        <v>0</v>
      </c>
      <c r="O118" s="6">
        <f t="shared" si="5"/>
        <v>2800</v>
      </c>
    </row>
    <row r="119" spans="1:15">
      <c r="A119" s="8" t="s">
        <v>274</v>
      </c>
      <c r="B119" s="9">
        <v>45606</v>
      </c>
      <c r="C119" s="10">
        <v>2024</v>
      </c>
      <c r="D119" s="8" t="s">
        <v>41</v>
      </c>
      <c r="E119" s="8" t="s">
        <v>42</v>
      </c>
      <c r="F119" s="8" t="s">
        <v>43</v>
      </c>
      <c r="G119" s="8" t="s">
        <v>31</v>
      </c>
      <c r="H119" s="8" t="s">
        <v>124</v>
      </c>
      <c r="I119" s="8" t="s">
        <v>266</v>
      </c>
      <c r="J119" s="11">
        <v>2</v>
      </c>
      <c r="K119" s="12">
        <v>90</v>
      </c>
      <c r="L119" s="12">
        <f t="shared" si="3"/>
        <v>180</v>
      </c>
      <c r="M119" s="13">
        <v>8.9999999999999993E-3</v>
      </c>
      <c r="N119" s="12">
        <f t="shared" si="4"/>
        <v>1.6199999999999999</v>
      </c>
      <c r="O119" s="12">
        <f t="shared" si="5"/>
        <v>178.38</v>
      </c>
    </row>
    <row r="120" spans="1:15">
      <c r="A120" s="2" t="s">
        <v>275</v>
      </c>
      <c r="B120" s="3">
        <v>45728</v>
      </c>
      <c r="C120" s="4">
        <v>2025</v>
      </c>
      <c r="D120" s="2" t="s">
        <v>78</v>
      </c>
      <c r="E120" s="2" t="s">
        <v>35</v>
      </c>
      <c r="F120" s="2" t="s">
        <v>36</v>
      </c>
      <c r="G120" s="2" t="s">
        <v>31</v>
      </c>
      <c r="H120" s="2" t="s">
        <v>32</v>
      </c>
      <c r="I120" s="2" t="s">
        <v>276</v>
      </c>
      <c r="J120" s="5">
        <v>3</v>
      </c>
      <c r="K120" s="6">
        <v>1000</v>
      </c>
      <c r="L120" s="6">
        <f t="shared" si="3"/>
        <v>3000</v>
      </c>
      <c r="M120" s="7">
        <v>0</v>
      </c>
      <c r="N120" s="6">
        <f t="shared" si="4"/>
        <v>0</v>
      </c>
      <c r="O120" s="6">
        <f t="shared" si="5"/>
        <v>3000</v>
      </c>
    </row>
    <row r="121" spans="1:15">
      <c r="A121" s="8" t="s">
        <v>277</v>
      </c>
      <c r="B121" s="9">
        <v>45309</v>
      </c>
      <c r="C121" s="10">
        <v>2024</v>
      </c>
      <c r="D121" s="8" t="s">
        <v>169</v>
      </c>
      <c r="E121" s="8" t="s">
        <v>17</v>
      </c>
      <c r="F121" s="8" t="s">
        <v>18</v>
      </c>
      <c r="G121" s="8" t="s">
        <v>19</v>
      </c>
      <c r="H121" s="8" t="s">
        <v>141</v>
      </c>
      <c r="I121" s="8" t="s">
        <v>278</v>
      </c>
      <c r="J121" s="11">
        <v>4</v>
      </c>
      <c r="K121" s="12">
        <v>1800</v>
      </c>
      <c r="L121" s="12">
        <f t="shared" si="3"/>
        <v>7200</v>
      </c>
      <c r="M121" s="13">
        <v>3.9E-2</v>
      </c>
      <c r="N121" s="12">
        <f t="shared" si="4"/>
        <v>280.8</v>
      </c>
      <c r="O121" s="12">
        <f t="shared" si="5"/>
        <v>6919.2</v>
      </c>
    </row>
    <row r="122" spans="1:15">
      <c r="A122" s="2" t="s">
        <v>279</v>
      </c>
      <c r="B122" s="3">
        <v>45568</v>
      </c>
      <c r="C122" s="4">
        <v>2024</v>
      </c>
      <c r="D122" s="2" t="s">
        <v>72</v>
      </c>
      <c r="E122" s="2" t="s">
        <v>35</v>
      </c>
      <c r="F122" s="2" t="s">
        <v>36</v>
      </c>
      <c r="G122" s="2" t="s">
        <v>26</v>
      </c>
      <c r="H122" s="2" t="s">
        <v>110</v>
      </c>
      <c r="I122" s="2" t="s">
        <v>111</v>
      </c>
      <c r="J122" s="5">
        <v>1</v>
      </c>
      <c r="K122" s="6">
        <v>29000</v>
      </c>
      <c r="L122" s="6">
        <f t="shared" si="3"/>
        <v>29000</v>
      </c>
      <c r="M122" s="7">
        <v>0.13600000000000001</v>
      </c>
      <c r="N122" s="6">
        <f t="shared" si="4"/>
        <v>3944.0000000000005</v>
      </c>
      <c r="O122" s="6">
        <f t="shared" si="5"/>
        <v>25056</v>
      </c>
    </row>
    <row r="123" spans="1:15">
      <c r="A123" s="8" t="s">
        <v>280</v>
      </c>
      <c r="B123" s="9">
        <v>45328</v>
      </c>
      <c r="C123" s="10">
        <v>2024</v>
      </c>
      <c r="D123" s="8" t="s">
        <v>23</v>
      </c>
      <c r="E123" s="8" t="s">
        <v>24</v>
      </c>
      <c r="F123" s="8" t="s">
        <v>25</v>
      </c>
      <c r="G123" s="8" t="s">
        <v>19</v>
      </c>
      <c r="H123" s="8" t="s">
        <v>69</v>
      </c>
      <c r="I123" s="8" t="s">
        <v>70</v>
      </c>
      <c r="J123" s="11">
        <v>1</v>
      </c>
      <c r="K123" s="12">
        <v>800</v>
      </c>
      <c r="L123" s="12">
        <f t="shared" si="3"/>
        <v>800</v>
      </c>
      <c r="M123" s="13">
        <v>0</v>
      </c>
      <c r="N123" s="12">
        <f t="shared" si="4"/>
        <v>0</v>
      </c>
      <c r="O123" s="12">
        <f t="shared" si="5"/>
        <v>800</v>
      </c>
    </row>
    <row r="124" spans="1:15">
      <c r="A124" s="2" t="s">
        <v>281</v>
      </c>
      <c r="B124" s="3">
        <v>45932</v>
      </c>
      <c r="C124" s="4">
        <v>2025</v>
      </c>
      <c r="D124" s="2" t="s">
        <v>72</v>
      </c>
      <c r="E124" s="2" t="s">
        <v>24</v>
      </c>
      <c r="F124" s="2" t="s">
        <v>25</v>
      </c>
      <c r="G124" s="2" t="s">
        <v>31</v>
      </c>
      <c r="H124" s="2" t="s">
        <v>81</v>
      </c>
      <c r="I124" s="2" t="s">
        <v>181</v>
      </c>
      <c r="J124" s="5">
        <v>1</v>
      </c>
      <c r="K124" s="6">
        <v>220</v>
      </c>
      <c r="L124" s="6">
        <f t="shared" si="3"/>
        <v>220</v>
      </c>
      <c r="M124" s="7">
        <v>0</v>
      </c>
      <c r="N124" s="6">
        <f t="shared" si="4"/>
        <v>0</v>
      </c>
      <c r="O124" s="6">
        <f t="shared" si="5"/>
        <v>220</v>
      </c>
    </row>
    <row r="125" spans="1:15">
      <c r="A125" s="8" t="s">
        <v>282</v>
      </c>
      <c r="B125" s="9">
        <v>44992</v>
      </c>
      <c r="C125" s="10">
        <v>2023</v>
      </c>
      <c r="D125" s="8" t="s">
        <v>78</v>
      </c>
      <c r="E125" s="8" t="s">
        <v>42</v>
      </c>
      <c r="F125" s="8" t="s">
        <v>43</v>
      </c>
      <c r="G125" s="8" t="s">
        <v>19</v>
      </c>
      <c r="H125" s="8" t="s">
        <v>141</v>
      </c>
      <c r="I125" s="8" t="s">
        <v>283</v>
      </c>
      <c r="J125" s="11">
        <v>5</v>
      </c>
      <c r="K125" s="12">
        <v>1950</v>
      </c>
      <c r="L125" s="12">
        <f t="shared" si="3"/>
        <v>9750</v>
      </c>
      <c r="M125" s="13">
        <v>2.3E-2</v>
      </c>
      <c r="N125" s="12">
        <f t="shared" si="4"/>
        <v>224.25</v>
      </c>
      <c r="O125" s="12">
        <f t="shared" si="5"/>
        <v>9525.75</v>
      </c>
    </row>
    <row r="126" spans="1:15">
      <c r="A126" s="2" t="s">
        <v>284</v>
      </c>
      <c r="B126" s="3">
        <v>45609</v>
      </c>
      <c r="C126" s="4">
        <v>2024</v>
      </c>
      <c r="D126" s="2" t="s">
        <v>41</v>
      </c>
      <c r="E126" s="2" t="s">
        <v>17</v>
      </c>
      <c r="F126" s="2" t="s">
        <v>18</v>
      </c>
      <c r="G126" s="2" t="s">
        <v>53</v>
      </c>
      <c r="H126" s="2" t="s">
        <v>285</v>
      </c>
      <c r="I126" s="2" t="s">
        <v>286</v>
      </c>
      <c r="J126" s="5">
        <v>1</v>
      </c>
      <c r="K126" s="6">
        <v>330</v>
      </c>
      <c r="L126" s="6">
        <f t="shared" si="3"/>
        <v>330</v>
      </c>
      <c r="M126" s="7">
        <v>0</v>
      </c>
      <c r="N126" s="6">
        <f t="shared" si="4"/>
        <v>0</v>
      </c>
      <c r="O126" s="6">
        <f t="shared" si="5"/>
        <v>330</v>
      </c>
    </row>
    <row r="127" spans="1:15">
      <c r="A127" s="8" t="s">
        <v>287</v>
      </c>
      <c r="B127" s="9">
        <v>45261</v>
      </c>
      <c r="C127" s="10">
        <v>2023</v>
      </c>
      <c r="D127" s="8" t="s">
        <v>16</v>
      </c>
      <c r="E127" s="8" t="s">
        <v>17</v>
      </c>
      <c r="F127" s="8" t="s">
        <v>18</v>
      </c>
      <c r="G127" s="8" t="s">
        <v>26</v>
      </c>
      <c r="H127" s="8" t="s">
        <v>110</v>
      </c>
      <c r="I127" s="8" t="s">
        <v>214</v>
      </c>
      <c r="J127" s="11">
        <v>1</v>
      </c>
      <c r="K127" s="12">
        <v>60500</v>
      </c>
      <c r="L127" s="12">
        <f t="shared" si="3"/>
        <v>60500</v>
      </c>
      <c r="M127" s="13">
        <v>8.6999999999999994E-2</v>
      </c>
      <c r="N127" s="12">
        <f t="shared" si="4"/>
        <v>5263.5</v>
      </c>
      <c r="O127" s="12">
        <f t="shared" si="5"/>
        <v>55236.5</v>
      </c>
    </row>
    <row r="128" spans="1:15">
      <c r="A128" s="2" t="s">
        <v>288</v>
      </c>
      <c r="B128" s="3">
        <v>45323</v>
      </c>
      <c r="C128" s="4">
        <v>2024</v>
      </c>
      <c r="D128" s="2" t="s">
        <v>23</v>
      </c>
      <c r="E128" s="2" t="s">
        <v>24</v>
      </c>
      <c r="F128" s="2" t="s">
        <v>25</v>
      </c>
      <c r="G128" s="2" t="s">
        <v>37</v>
      </c>
      <c r="H128" s="2" t="s">
        <v>104</v>
      </c>
      <c r="I128" s="2" t="s">
        <v>289</v>
      </c>
      <c r="J128" s="5">
        <v>1</v>
      </c>
      <c r="K128" s="6">
        <v>2150</v>
      </c>
      <c r="L128" s="6">
        <f t="shared" si="3"/>
        <v>2150</v>
      </c>
      <c r="M128" s="7">
        <v>0</v>
      </c>
      <c r="N128" s="6">
        <f t="shared" si="4"/>
        <v>0</v>
      </c>
      <c r="O128" s="6">
        <f t="shared" si="5"/>
        <v>2150</v>
      </c>
    </row>
    <row r="129" spans="1:15">
      <c r="A129" s="8" t="s">
        <v>290</v>
      </c>
      <c r="B129" s="9">
        <v>45592</v>
      </c>
      <c r="C129" s="10">
        <v>2024</v>
      </c>
      <c r="D129" s="8" t="s">
        <v>72</v>
      </c>
      <c r="E129" s="8" t="s">
        <v>17</v>
      </c>
      <c r="F129" s="8" t="s">
        <v>18</v>
      </c>
      <c r="G129" s="8" t="s">
        <v>44</v>
      </c>
      <c r="H129" s="8" t="s">
        <v>45</v>
      </c>
      <c r="I129" s="8" t="s">
        <v>190</v>
      </c>
      <c r="J129" s="11">
        <v>8</v>
      </c>
      <c r="K129" s="12">
        <v>1100</v>
      </c>
      <c r="L129" s="12">
        <f t="shared" si="3"/>
        <v>8800</v>
      </c>
      <c r="M129" s="13">
        <v>0</v>
      </c>
      <c r="N129" s="12">
        <f t="shared" si="4"/>
        <v>0</v>
      </c>
      <c r="O129" s="12">
        <f t="shared" si="5"/>
        <v>8800</v>
      </c>
    </row>
    <row r="130" spans="1:15">
      <c r="A130" s="2" t="s">
        <v>291</v>
      </c>
      <c r="B130" s="3">
        <v>45331</v>
      </c>
      <c r="C130" s="4">
        <v>2024</v>
      </c>
      <c r="D130" s="2" t="s">
        <v>23</v>
      </c>
      <c r="E130" s="2" t="s">
        <v>24</v>
      </c>
      <c r="F130" s="2" t="s">
        <v>25</v>
      </c>
      <c r="G130" s="2" t="s">
        <v>31</v>
      </c>
      <c r="H130" s="2" t="s">
        <v>32</v>
      </c>
      <c r="I130" s="2" t="s">
        <v>292</v>
      </c>
      <c r="J130" s="5">
        <v>1</v>
      </c>
      <c r="K130" s="6">
        <v>390</v>
      </c>
      <c r="L130" s="6">
        <f t="shared" ref="L130:L193" si="6">J130*K130</f>
        <v>390</v>
      </c>
      <c r="M130" s="7">
        <v>0</v>
      </c>
      <c r="N130" s="6">
        <f t="shared" ref="N130:N193" si="7">L130*M130</f>
        <v>0</v>
      </c>
      <c r="O130" s="6">
        <f t="shared" ref="O130:O193" si="8">L130-N130</f>
        <v>390</v>
      </c>
    </row>
    <row r="131" spans="1:15">
      <c r="A131" s="8" t="s">
        <v>293</v>
      </c>
      <c r="B131" s="9">
        <v>45998</v>
      </c>
      <c r="C131" s="10">
        <v>2025</v>
      </c>
      <c r="D131" s="8" t="s">
        <v>16</v>
      </c>
      <c r="E131" s="8" t="s">
        <v>42</v>
      </c>
      <c r="F131" s="8" t="s">
        <v>43</v>
      </c>
      <c r="G131" s="8" t="s">
        <v>31</v>
      </c>
      <c r="H131" s="8" t="s">
        <v>81</v>
      </c>
      <c r="I131" s="8" t="s">
        <v>172</v>
      </c>
      <c r="J131" s="11">
        <v>5</v>
      </c>
      <c r="K131" s="12">
        <v>480</v>
      </c>
      <c r="L131" s="12">
        <f t="shared" si="6"/>
        <v>2400</v>
      </c>
      <c r="M131" s="13">
        <v>3.0000000000000001E-3</v>
      </c>
      <c r="N131" s="12">
        <f t="shared" si="7"/>
        <v>7.2</v>
      </c>
      <c r="O131" s="12">
        <f t="shared" si="8"/>
        <v>2392.8000000000002</v>
      </c>
    </row>
    <row r="132" spans="1:15">
      <c r="A132" s="2" t="s">
        <v>294</v>
      </c>
      <c r="B132" s="3">
        <v>45508</v>
      </c>
      <c r="C132" s="4">
        <v>2024</v>
      </c>
      <c r="D132" s="2" t="s">
        <v>52</v>
      </c>
      <c r="E132" s="2" t="s">
        <v>24</v>
      </c>
      <c r="F132" s="2" t="s">
        <v>25</v>
      </c>
      <c r="G132" s="2" t="s">
        <v>19</v>
      </c>
      <c r="H132" s="2" t="s">
        <v>116</v>
      </c>
      <c r="I132" s="2" t="s">
        <v>139</v>
      </c>
      <c r="J132" s="5">
        <v>5</v>
      </c>
      <c r="K132" s="6">
        <v>1950</v>
      </c>
      <c r="L132" s="6">
        <f t="shared" si="6"/>
        <v>9750</v>
      </c>
      <c r="M132" s="7">
        <v>2.1000000000000001E-2</v>
      </c>
      <c r="N132" s="6">
        <f t="shared" si="7"/>
        <v>204.75</v>
      </c>
      <c r="O132" s="6">
        <f t="shared" si="8"/>
        <v>9545.25</v>
      </c>
    </row>
    <row r="133" spans="1:15">
      <c r="A133" s="8" t="s">
        <v>295</v>
      </c>
      <c r="B133" s="9">
        <v>45948</v>
      </c>
      <c r="C133" s="10">
        <v>2025</v>
      </c>
      <c r="D133" s="8" t="s">
        <v>72</v>
      </c>
      <c r="E133" s="8" t="s">
        <v>42</v>
      </c>
      <c r="F133" s="8" t="s">
        <v>43</v>
      </c>
      <c r="G133" s="8" t="s">
        <v>37</v>
      </c>
      <c r="H133" s="8" t="s">
        <v>38</v>
      </c>
      <c r="I133" s="8" t="s">
        <v>39</v>
      </c>
      <c r="J133" s="11">
        <v>2</v>
      </c>
      <c r="K133" s="12">
        <v>1250</v>
      </c>
      <c r="L133" s="12">
        <f t="shared" si="6"/>
        <v>2500</v>
      </c>
      <c r="M133" s="13">
        <v>0</v>
      </c>
      <c r="N133" s="12">
        <f t="shared" si="7"/>
        <v>0</v>
      </c>
      <c r="O133" s="12">
        <f t="shared" si="8"/>
        <v>2500</v>
      </c>
    </row>
    <row r="134" spans="1:15">
      <c r="A134" s="2" t="s">
        <v>296</v>
      </c>
      <c r="B134" s="3">
        <v>45761</v>
      </c>
      <c r="C134" s="4">
        <v>2025</v>
      </c>
      <c r="D134" s="2" t="s">
        <v>30</v>
      </c>
      <c r="E134" s="2" t="s">
        <v>35</v>
      </c>
      <c r="F134" s="2" t="s">
        <v>36</v>
      </c>
      <c r="G134" s="2" t="s">
        <v>44</v>
      </c>
      <c r="H134" s="2" t="s">
        <v>223</v>
      </c>
      <c r="I134" s="2" t="s">
        <v>297</v>
      </c>
      <c r="J134" s="5">
        <v>1</v>
      </c>
      <c r="K134" s="6">
        <v>1700</v>
      </c>
      <c r="L134" s="6">
        <f t="shared" si="6"/>
        <v>1700</v>
      </c>
      <c r="M134" s="7">
        <v>0</v>
      </c>
      <c r="N134" s="6">
        <f t="shared" si="7"/>
        <v>0</v>
      </c>
      <c r="O134" s="6">
        <f t="shared" si="8"/>
        <v>1700</v>
      </c>
    </row>
    <row r="135" spans="1:15">
      <c r="A135" s="8" t="s">
        <v>298</v>
      </c>
      <c r="B135" s="9">
        <v>45103</v>
      </c>
      <c r="C135" s="10">
        <v>2023</v>
      </c>
      <c r="D135" s="8" t="s">
        <v>100</v>
      </c>
      <c r="E135" s="8" t="s">
        <v>42</v>
      </c>
      <c r="F135" s="8" t="s">
        <v>43</v>
      </c>
      <c r="G135" s="8" t="s">
        <v>44</v>
      </c>
      <c r="H135" s="8" t="s">
        <v>223</v>
      </c>
      <c r="I135" s="8" t="s">
        <v>239</v>
      </c>
      <c r="J135" s="11">
        <v>4</v>
      </c>
      <c r="K135" s="12">
        <v>1350</v>
      </c>
      <c r="L135" s="12">
        <f t="shared" si="6"/>
        <v>5400</v>
      </c>
      <c r="M135" s="13">
        <v>0</v>
      </c>
      <c r="N135" s="12">
        <f t="shared" si="7"/>
        <v>0</v>
      </c>
      <c r="O135" s="12">
        <f t="shared" si="8"/>
        <v>5400</v>
      </c>
    </row>
    <row r="136" spans="1:15">
      <c r="A136" s="2" t="s">
        <v>299</v>
      </c>
      <c r="B136" s="3">
        <v>45566</v>
      </c>
      <c r="C136" s="4">
        <v>2024</v>
      </c>
      <c r="D136" s="2" t="s">
        <v>72</v>
      </c>
      <c r="E136" s="2" t="s">
        <v>42</v>
      </c>
      <c r="F136" s="2" t="s">
        <v>43</v>
      </c>
      <c r="G136" s="2" t="s">
        <v>64</v>
      </c>
      <c r="H136" s="2" t="s">
        <v>97</v>
      </c>
      <c r="I136" s="2" t="s">
        <v>300</v>
      </c>
      <c r="J136" s="5">
        <v>2</v>
      </c>
      <c r="K136" s="6">
        <v>600</v>
      </c>
      <c r="L136" s="6">
        <f t="shared" si="6"/>
        <v>1200</v>
      </c>
      <c r="M136" s="7">
        <v>0.28999999999999998</v>
      </c>
      <c r="N136" s="6">
        <f t="shared" si="7"/>
        <v>348</v>
      </c>
      <c r="O136" s="6">
        <f t="shared" si="8"/>
        <v>852</v>
      </c>
    </row>
    <row r="137" spans="1:15">
      <c r="A137" s="8" t="s">
        <v>301</v>
      </c>
      <c r="B137" s="9">
        <v>45248</v>
      </c>
      <c r="C137" s="10">
        <v>2023</v>
      </c>
      <c r="D137" s="8" t="s">
        <v>41</v>
      </c>
      <c r="E137" s="8" t="s">
        <v>35</v>
      </c>
      <c r="F137" s="8" t="s">
        <v>36</v>
      </c>
      <c r="G137" s="8" t="s">
        <v>31</v>
      </c>
      <c r="H137" s="8" t="s">
        <v>32</v>
      </c>
      <c r="I137" s="8" t="s">
        <v>292</v>
      </c>
      <c r="J137" s="11">
        <v>6</v>
      </c>
      <c r="K137" s="12">
        <v>460</v>
      </c>
      <c r="L137" s="12">
        <f t="shared" si="6"/>
        <v>2760</v>
      </c>
      <c r="M137" s="13">
        <v>3.7999999999999999E-2</v>
      </c>
      <c r="N137" s="12">
        <f t="shared" si="7"/>
        <v>104.88</v>
      </c>
      <c r="O137" s="12">
        <f t="shared" si="8"/>
        <v>2655.12</v>
      </c>
    </row>
    <row r="138" spans="1:15">
      <c r="A138" s="2" t="s">
        <v>302</v>
      </c>
      <c r="B138" s="3">
        <v>44938</v>
      </c>
      <c r="C138" s="4">
        <v>2023</v>
      </c>
      <c r="D138" s="2" t="s">
        <v>169</v>
      </c>
      <c r="E138" s="2" t="s">
        <v>24</v>
      </c>
      <c r="F138" s="2" t="s">
        <v>25</v>
      </c>
      <c r="G138" s="2" t="s">
        <v>57</v>
      </c>
      <c r="H138" s="2" t="s">
        <v>75</v>
      </c>
      <c r="I138" s="2" t="s">
        <v>144</v>
      </c>
      <c r="J138" s="5">
        <v>2</v>
      </c>
      <c r="K138" s="6">
        <v>4650</v>
      </c>
      <c r="L138" s="6">
        <f t="shared" si="6"/>
        <v>9300</v>
      </c>
      <c r="M138" s="7">
        <v>0</v>
      </c>
      <c r="N138" s="6">
        <f t="shared" si="7"/>
        <v>0</v>
      </c>
      <c r="O138" s="6">
        <f t="shared" si="8"/>
        <v>9300</v>
      </c>
    </row>
    <row r="139" spans="1:15">
      <c r="A139" s="8" t="s">
        <v>303</v>
      </c>
      <c r="B139" s="9">
        <v>45535</v>
      </c>
      <c r="C139" s="10">
        <v>2024</v>
      </c>
      <c r="D139" s="8" t="s">
        <v>52</v>
      </c>
      <c r="E139" s="8" t="s">
        <v>42</v>
      </c>
      <c r="F139" s="8" t="s">
        <v>43</v>
      </c>
      <c r="G139" s="8" t="s">
        <v>64</v>
      </c>
      <c r="H139" s="8" t="s">
        <v>65</v>
      </c>
      <c r="I139" s="8" t="s">
        <v>73</v>
      </c>
      <c r="J139" s="11">
        <v>1</v>
      </c>
      <c r="K139" s="12">
        <v>2000</v>
      </c>
      <c r="L139" s="12">
        <f t="shared" si="6"/>
        <v>2000</v>
      </c>
      <c r="M139" s="13">
        <v>0.16700000000000001</v>
      </c>
      <c r="N139" s="12">
        <f t="shared" si="7"/>
        <v>334</v>
      </c>
      <c r="O139" s="12">
        <f t="shared" si="8"/>
        <v>1666</v>
      </c>
    </row>
    <row r="140" spans="1:15">
      <c r="A140" s="2" t="s">
        <v>304</v>
      </c>
      <c r="B140" s="3">
        <v>45416</v>
      </c>
      <c r="C140" s="4">
        <v>2024</v>
      </c>
      <c r="D140" s="2" t="s">
        <v>48</v>
      </c>
      <c r="E140" s="2" t="s">
        <v>42</v>
      </c>
      <c r="F140" s="2" t="s">
        <v>43</v>
      </c>
      <c r="G140" s="2" t="s">
        <v>57</v>
      </c>
      <c r="H140" s="2" t="s">
        <v>200</v>
      </c>
      <c r="I140" s="2" t="s">
        <v>305</v>
      </c>
      <c r="J140" s="5">
        <v>1</v>
      </c>
      <c r="K140" s="6">
        <v>1650</v>
      </c>
      <c r="L140" s="6">
        <f t="shared" si="6"/>
        <v>1650</v>
      </c>
      <c r="M140" s="7">
        <v>0</v>
      </c>
      <c r="N140" s="6">
        <f t="shared" si="7"/>
        <v>0</v>
      </c>
      <c r="O140" s="6">
        <f t="shared" si="8"/>
        <v>1650</v>
      </c>
    </row>
    <row r="141" spans="1:15">
      <c r="A141" s="8" t="s">
        <v>306</v>
      </c>
      <c r="B141" s="9">
        <v>45915</v>
      </c>
      <c r="C141" s="10">
        <v>2025</v>
      </c>
      <c r="D141" s="8" t="s">
        <v>123</v>
      </c>
      <c r="E141" s="8" t="s">
        <v>35</v>
      </c>
      <c r="F141" s="8" t="s">
        <v>36</v>
      </c>
      <c r="G141" s="8" t="s">
        <v>44</v>
      </c>
      <c r="H141" s="8" t="s">
        <v>45</v>
      </c>
      <c r="I141" s="8" t="s">
        <v>307</v>
      </c>
      <c r="J141" s="11">
        <v>2</v>
      </c>
      <c r="K141" s="12">
        <v>1450</v>
      </c>
      <c r="L141" s="12">
        <f t="shared" si="6"/>
        <v>2900</v>
      </c>
      <c r="M141" s="13">
        <v>0</v>
      </c>
      <c r="N141" s="12">
        <f t="shared" si="7"/>
        <v>0</v>
      </c>
      <c r="O141" s="12">
        <f t="shared" si="8"/>
        <v>2900</v>
      </c>
    </row>
    <row r="142" spans="1:15">
      <c r="A142" s="2" t="s">
        <v>308</v>
      </c>
      <c r="B142" s="3">
        <v>44940</v>
      </c>
      <c r="C142" s="4">
        <v>2023</v>
      </c>
      <c r="D142" s="2" t="s">
        <v>169</v>
      </c>
      <c r="E142" s="2" t="s">
        <v>17</v>
      </c>
      <c r="F142" s="2" t="s">
        <v>18</v>
      </c>
      <c r="G142" s="2" t="s">
        <v>64</v>
      </c>
      <c r="H142" s="2" t="s">
        <v>65</v>
      </c>
      <c r="I142" s="2" t="s">
        <v>309</v>
      </c>
      <c r="J142" s="5">
        <v>1</v>
      </c>
      <c r="K142" s="6">
        <v>1800</v>
      </c>
      <c r="L142" s="6">
        <f t="shared" si="6"/>
        <v>1800</v>
      </c>
      <c r="M142" s="7">
        <v>0</v>
      </c>
      <c r="N142" s="6">
        <f t="shared" si="7"/>
        <v>0</v>
      </c>
      <c r="O142" s="6">
        <f t="shared" si="8"/>
        <v>1800</v>
      </c>
    </row>
    <row r="143" spans="1:15">
      <c r="A143" s="8" t="s">
        <v>310</v>
      </c>
      <c r="B143" s="9">
        <v>45382</v>
      </c>
      <c r="C143" s="10">
        <v>2024</v>
      </c>
      <c r="D143" s="8" t="s">
        <v>78</v>
      </c>
      <c r="E143" s="8" t="s">
        <v>35</v>
      </c>
      <c r="F143" s="8" t="s">
        <v>36</v>
      </c>
      <c r="G143" s="8" t="s">
        <v>31</v>
      </c>
      <c r="H143" s="8" t="s">
        <v>32</v>
      </c>
      <c r="I143" s="8" t="s">
        <v>276</v>
      </c>
      <c r="J143" s="11">
        <v>3</v>
      </c>
      <c r="K143" s="12">
        <v>100</v>
      </c>
      <c r="L143" s="12">
        <f t="shared" si="6"/>
        <v>300</v>
      </c>
      <c r="M143" s="13">
        <v>1.4999999999999999E-2</v>
      </c>
      <c r="N143" s="12">
        <f t="shared" si="7"/>
        <v>4.5</v>
      </c>
      <c r="O143" s="12">
        <f t="shared" si="8"/>
        <v>295.5</v>
      </c>
    </row>
    <row r="144" spans="1:15">
      <c r="A144" s="2" t="s">
        <v>311</v>
      </c>
      <c r="B144" s="3">
        <v>45593</v>
      </c>
      <c r="C144" s="4">
        <v>2024</v>
      </c>
      <c r="D144" s="2" t="s">
        <v>72</v>
      </c>
      <c r="E144" s="2" t="s">
        <v>35</v>
      </c>
      <c r="F144" s="2" t="s">
        <v>36</v>
      </c>
      <c r="G144" s="2" t="s">
        <v>57</v>
      </c>
      <c r="H144" s="2" t="s">
        <v>58</v>
      </c>
      <c r="I144" s="2" t="s">
        <v>59</v>
      </c>
      <c r="J144" s="5">
        <v>1</v>
      </c>
      <c r="K144" s="6">
        <v>6000</v>
      </c>
      <c r="L144" s="6">
        <f t="shared" si="6"/>
        <v>6000</v>
      </c>
      <c r="M144" s="7">
        <v>0</v>
      </c>
      <c r="N144" s="6">
        <f t="shared" si="7"/>
        <v>0</v>
      </c>
      <c r="O144" s="6">
        <f t="shared" si="8"/>
        <v>6000</v>
      </c>
    </row>
    <row r="145" spans="1:15">
      <c r="A145" s="8" t="s">
        <v>312</v>
      </c>
      <c r="B145" s="9">
        <v>45037</v>
      </c>
      <c r="C145" s="10">
        <v>2023</v>
      </c>
      <c r="D145" s="8" t="s">
        <v>30</v>
      </c>
      <c r="E145" s="8" t="s">
        <v>35</v>
      </c>
      <c r="F145" s="8" t="s">
        <v>36</v>
      </c>
      <c r="G145" s="8" t="s">
        <v>26</v>
      </c>
      <c r="H145" s="8" t="s">
        <v>110</v>
      </c>
      <c r="I145" s="8" t="s">
        <v>313</v>
      </c>
      <c r="J145" s="11">
        <v>1</v>
      </c>
      <c r="K145" s="12">
        <v>60000</v>
      </c>
      <c r="L145" s="12">
        <f t="shared" si="6"/>
        <v>60000</v>
      </c>
      <c r="M145" s="13">
        <v>0</v>
      </c>
      <c r="N145" s="12">
        <f t="shared" si="7"/>
        <v>0</v>
      </c>
      <c r="O145" s="12">
        <f t="shared" si="8"/>
        <v>60000</v>
      </c>
    </row>
    <row r="146" spans="1:15">
      <c r="A146" s="2" t="s">
        <v>314</v>
      </c>
      <c r="B146" s="3">
        <v>45707</v>
      </c>
      <c r="C146" s="4">
        <v>2025</v>
      </c>
      <c r="D146" s="2" t="s">
        <v>23</v>
      </c>
      <c r="E146" s="2" t="s">
        <v>42</v>
      </c>
      <c r="F146" s="2" t="s">
        <v>43</v>
      </c>
      <c r="G146" s="2" t="s">
        <v>19</v>
      </c>
      <c r="H146" s="2" t="s">
        <v>69</v>
      </c>
      <c r="I146" s="2" t="s">
        <v>315</v>
      </c>
      <c r="J146" s="5">
        <v>6</v>
      </c>
      <c r="K146" s="6">
        <v>1800</v>
      </c>
      <c r="L146" s="6">
        <f t="shared" si="6"/>
        <v>10800</v>
      </c>
      <c r="M146" s="7">
        <v>2.7E-2</v>
      </c>
      <c r="N146" s="6">
        <f t="shared" si="7"/>
        <v>291.60000000000002</v>
      </c>
      <c r="O146" s="6">
        <f t="shared" si="8"/>
        <v>10508.4</v>
      </c>
    </row>
    <row r="147" spans="1:15">
      <c r="A147" s="8" t="s">
        <v>316</v>
      </c>
      <c r="B147" s="9">
        <v>45079</v>
      </c>
      <c r="C147" s="10">
        <v>2023</v>
      </c>
      <c r="D147" s="8" t="s">
        <v>100</v>
      </c>
      <c r="E147" s="8" t="s">
        <v>42</v>
      </c>
      <c r="F147" s="8" t="s">
        <v>43</v>
      </c>
      <c r="G147" s="8" t="s">
        <v>64</v>
      </c>
      <c r="H147" s="8" t="s">
        <v>127</v>
      </c>
      <c r="I147" s="8" t="s">
        <v>317</v>
      </c>
      <c r="J147" s="11">
        <v>1</v>
      </c>
      <c r="K147" s="12">
        <v>340</v>
      </c>
      <c r="L147" s="12">
        <f t="shared" si="6"/>
        <v>340</v>
      </c>
      <c r="M147" s="13">
        <v>0.20300000000000001</v>
      </c>
      <c r="N147" s="12">
        <f t="shared" si="7"/>
        <v>69.02000000000001</v>
      </c>
      <c r="O147" s="12">
        <f t="shared" si="8"/>
        <v>270.98</v>
      </c>
    </row>
    <row r="148" spans="1:15">
      <c r="A148" s="2" t="s">
        <v>318</v>
      </c>
      <c r="B148" s="3">
        <v>45985</v>
      </c>
      <c r="C148" s="4">
        <v>2025</v>
      </c>
      <c r="D148" s="2" t="s">
        <v>41</v>
      </c>
      <c r="E148" s="2" t="s">
        <v>24</v>
      </c>
      <c r="F148" s="2" t="s">
        <v>25</v>
      </c>
      <c r="G148" s="2" t="s">
        <v>57</v>
      </c>
      <c r="H148" s="2" t="s">
        <v>131</v>
      </c>
      <c r="I148" s="2" t="s">
        <v>132</v>
      </c>
      <c r="J148" s="5">
        <v>1</v>
      </c>
      <c r="K148" s="6">
        <v>3700</v>
      </c>
      <c r="L148" s="6">
        <f t="shared" si="6"/>
        <v>3700</v>
      </c>
      <c r="M148" s="7">
        <v>0</v>
      </c>
      <c r="N148" s="6">
        <f t="shared" si="7"/>
        <v>0</v>
      </c>
      <c r="O148" s="6">
        <f t="shared" si="8"/>
        <v>3700</v>
      </c>
    </row>
    <row r="149" spans="1:15">
      <c r="A149" s="8" t="s">
        <v>319</v>
      </c>
      <c r="B149" s="9">
        <v>44981</v>
      </c>
      <c r="C149" s="10">
        <v>2023</v>
      </c>
      <c r="D149" s="8" t="s">
        <v>23</v>
      </c>
      <c r="E149" s="8" t="s">
        <v>35</v>
      </c>
      <c r="F149" s="8" t="s">
        <v>36</v>
      </c>
      <c r="G149" s="8" t="s">
        <v>44</v>
      </c>
      <c r="H149" s="8" t="s">
        <v>223</v>
      </c>
      <c r="I149" s="8" t="s">
        <v>320</v>
      </c>
      <c r="J149" s="11">
        <v>1</v>
      </c>
      <c r="K149" s="12">
        <v>1050</v>
      </c>
      <c r="L149" s="12">
        <f t="shared" si="6"/>
        <v>1050</v>
      </c>
      <c r="M149" s="13">
        <v>0</v>
      </c>
      <c r="N149" s="12">
        <f t="shared" si="7"/>
        <v>0</v>
      </c>
      <c r="O149" s="12">
        <f t="shared" si="8"/>
        <v>1050</v>
      </c>
    </row>
    <row r="150" spans="1:15">
      <c r="A150" s="2" t="s">
        <v>321</v>
      </c>
      <c r="B150" s="3">
        <v>45082</v>
      </c>
      <c r="C150" s="4">
        <v>2023</v>
      </c>
      <c r="D150" s="2" t="s">
        <v>100</v>
      </c>
      <c r="E150" s="2" t="s">
        <v>24</v>
      </c>
      <c r="F150" s="2" t="s">
        <v>25</v>
      </c>
      <c r="G150" s="2" t="s">
        <v>53</v>
      </c>
      <c r="H150" s="2" t="s">
        <v>136</v>
      </c>
      <c r="I150" s="2" t="s">
        <v>322</v>
      </c>
      <c r="J150" s="5">
        <v>1</v>
      </c>
      <c r="K150" s="6">
        <v>1850</v>
      </c>
      <c r="L150" s="6">
        <f t="shared" si="6"/>
        <v>1850</v>
      </c>
      <c r="M150" s="7">
        <v>0.14399999999999999</v>
      </c>
      <c r="N150" s="6">
        <f t="shared" si="7"/>
        <v>266.39999999999998</v>
      </c>
      <c r="O150" s="6">
        <f t="shared" si="8"/>
        <v>1583.6</v>
      </c>
    </row>
    <row r="151" spans="1:15">
      <c r="A151" s="8" t="s">
        <v>323</v>
      </c>
      <c r="B151" s="9">
        <v>44971</v>
      </c>
      <c r="C151" s="10">
        <v>2023</v>
      </c>
      <c r="D151" s="8" t="s">
        <v>23</v>
      </c>
      <c r="E151" s="8" t="s">
        <v>24</v>
      </c>
      <c r="F151" s="8" t="s">
        <v>25</v>
      </c>
      <c r="G151" s="8" t="s">
        <v>19</v>
      </c>
      <c r="H151" s="8" t="s">
        <v>20</v>
      </c>
      <c r="I151" s="8" t="s">
        <v>120</v>
      </c>
      <c r="J151" s="11">
        <v>1</v>
      </c>
      <c r="K151" s="12">
        <v>410</v>
      </c>
      <c r="L151" s="12">
        <f t="shared" si="6"/>
        <v>410</v>
      </c>
      <c r="M151" s="13">
        <v>0</v>
      </c>
      <c r="N151" s="12">
        <f t="shared" si="7"/>
        <v>0</v>
      </c>
      <c r="O151" s="12">
        <f t="shared" si="8"/>
        <v>410</v>
      </c>
    </row>
    <row r="152" spans="1:15">
      <c r="A152" s="2" t="s">
        <v>324</v>
      </c>
      <c r="B152" s="3">
        <v>45499</v>
      </c>
      <c r="C152" s="4">
        <v>2024</v>
      </c>
      <c r="D152" s="2" t="s">
        <v>68</v>
      </c>
      <c r="E152" s="2" t="s">
        <v>35</v>
      </c>
      <c r="F152" s="2" t="s">
        <v>36</v>
      </c>
      <c r="G152" s="2" t="s">
        <v>37</v>
      </c>
      <c r="H152" s="2" t="s">
        <v>104</v>
      </c>
      <c r="I152" s="2" t="s">
        <v>325</v>
      </c>
      <c r="J152" s="5">
        <v>1</v>
      </c>
      <c r="K152" s="6">
        <v>4000</v>
      </c>
      <c r="L152" s="6">
        <f t="shared" si="6"/>
        <v>4000</v>
      </c>
      <c r="M152" s="7">
        <v>0</v>
      </c>
      <c r="N152" s="6">
        <f t="shared" si="7"/>
        <v>0</v>
      </c>
      <c r="O152" s="6">
        <f t="shared" si="8"/>
        <v>4000</v>
      </c>
    </row>
    <row r="153" spans="1:15">
      <c r="A153" s="8" t="s">
        <v>326</v>
      </c>
      <c r="B153" s="9">
        <v>45664</v>
      </c>
      <c r="C153" s="10">
        <v>2025</v>
      </c>
      <c r="D153" s="8" t="s">
        <v>169</v>
      </c>
      <c r="E153" s="8" t="s">
        <v>24</v>
      </c>
      <c r="F153" s="8" t="s">
        <v>25</v>
      </c>
      <c r="G153" s="8" t="s">
        <v>44</v>
      </c>
      <c r="H153" s="8" t="s">
        <v>45</v>
      </c>
      <c r="I153" s="8" t="s">
        <v>307</v>
      </c>
      <c r="J153" s="11">
        <v>5</v>
      </c>
      <c r="K153" s="12">
        <v>750</v>
      </c>
      <c r="L153" s="12">
        <f t="shared" si="6"/>
        <v>3750</v>
      </c>
      <c r="M153" s="13">
        <v>0</v>
      </c>
      <c r="N153" s="12">
        <f t="shared" si="7"/>
        <v>0</v>
      </c>
      <c r="O153" s="12">
        <f t="shared" si="8"/>
        <v>3750</v>
      </c>
    </row>
    <row r="154" spans="1:15">
      <c r="A154" s="2" t="s">
        <v>327</v>
      </c>
      <c r="B154" s="3">
        <v>45125</v>
      </c>
      <c r="C154" s="4">
        <v>2023</v>
      </c>
      <c r="D154" s="2" t="s">
        <v>68</v>
      </c>
      <c r="E154" s="2" t="s">
        <v>17</v>
      </c>
      <c r="F154" s="2" t="s">
        <v>18</v>
      </c>
      <c r="G154" s="2" t="s">
        <v>37</v>
      </c>
      <c r="H154" s="2" t="s">
        <v>38</v>
      </c>
      <c r="I154" s="2" t="s">
        <v>89</v>
      </c>
      <c r="J154" s="5">
        <v>1</v>
      </c>
      <c r="K154" s="6">
        <v>2900</v>
      </c>
      <c r="L154" s="6">
        <f t="shared" si="6"/>
        <v>2900</v>
      </c>
      <c r="M154" s="7">
        <v>0</v>
      </c>
      <c r="N154" s="6">
        <f t="shared" si="7"/>
        <v>0</v>
      </c>
      <c r="O154" s="6">
        <f t="shared" si="8"/>
        <v>2900</v>
      </c>
    </row>
    <row r="155" spans="1:15">
      <c r="A155" s="8" t="s">
        <v>328</v>
      </c>
      <c r="B155" s="9">
        <v>45689</v>
      </c>
      <c r="C155" s="10">
        <v>2025</v>
      </c>
      <c r="D155" s="8" t="s">
        <v>23</v>
      </c>
      <c r="E155" s="8" t="s">
        <v>35</v>
      </c>
      <c r="F155" s="8" t="s">
        <v>36</v>
      </c>
      <c r="G155" s="8" t="s">
        <v>57</v>
      </c>
      <c r="H155" s="8" t="s">
        <v>75</v>
      </c>
      <c r="I155" s="8" t="s">
        <v>144</v>
      </c>
      <c r="J155" s="11">
        <v>1</v>
      </c>
      <c r="K155" s="12">
        <v>6000</v>
      </c>
      <c r="L155" s="12">
        <f t="shared" si="6"/>
        <v>6000</v>
      </c>
      <c r="M155" s="13">
        <v>7.3999999999999996E-2</v>
      </c>
      <c r="N155" s="12">
        <f t="shared" si="7"/>
        <v>444</v>
      </c>
      <c r="O155" s="12">
        <f t="shared" si="8"/>
        <v>5556</v>
      </c>
    </row>
    <row r="156" spans="1:15">
      <c r="A156" s="2" t="s">
        <v>329</v>
      </c>
      <c r="B156" s="3">
        <v>45508</v>
      </c>
      <c r="C156" s="4">
        <v>2024</v>
      </c>
      <c r="D156" s="2" t="s">
        <v>52</v>
      </c>
      <c r="E156" s="2" t="s">
        <v>42</v>
      </c>
      <c r="F156" s="2" t="s">
        <v>43</v>
      </c>
      <c r="G156" s="2" t="s">
        <v>26</v>
      </c>
      <c r="H156" s="2" t="s">
        <v>110</v>
      </c>
      <c r="I156" s="2" t="s">
        <v>330</v>
      </c>
      <c r="J156" s="5">
        <v>2</v>
      </c>
      <c r="K156" s="6">
        <v>10000</v>
      </c>
      <c r="L156" s="6">
        <f t="shared" si="6"/>
        <v>20000</v>
      </c>
      <c r="M156" s="7">
        <v>5.7000000000000002E-2</v>
      </c>
      <c r="N156" s="6">
        <f t="shared" si="7"/>
        <v>1140</v>
      </c>
      <c r="O156" s="6">
        <f t="shared" si="8"/>
        <v>18860</v>
      </c>
    </row>
    <row r="157" spans="1:15">
      <c r="A157" s="8" t="s">
        <v>331</v>
      </c>
      <c r="B157" s="9">
        <v>45351</v>
      </c>
      <c r="C157" s="10">
        <v>2024</v>
      </c>
      <c r="D157" s="8" t="s">
        <v>23</v>
      </c>
      <c r="E157" s="8" t="s">
        <v>42</v>
      </c>
      <c r="F157" s="8" t="s">
        <v>43</v>
      </c>
      <c r="G157" s="8" t="s">
        <v>26</v>
      </c>
      <c r="H157" s="8" t="s">
        <v>113</v>
      </c>
      <c r="I157" s="8" t="s">
        <v>332</v>
      </c>
      <c r="J157" s="11">
        <v>1</v>
      </c>
      <c r="K157" s="12">
        <v>49000</v>
      </c>
      <c r="L157" s="12">
        <f t="shared" si="6"/>
        <v>49000</v>
      </c>
      <c r="M157" s="13">
        <v>0</v>
      </c>
      <c r="N157" s="12">
        <f t="shared" si="7"/>
        <v>0</v>
      </c>
      <c r="O157" s="12">
        <f t="shared" si="8"/>
        <v>49000</v>
      </c>
    </row>
    <row r="158" spans="1:15">
      <c r="A158" s="2" t="s">
        <v>333</v>
      </c>
      <c r="B158" s="3">
        <v>45096</v>
      </c>
      <c r="C158" s="4">
        <v>2023</v>
      </c>
      <c r="D158" s="2" t="s">
        <v>100</v>
      </c>
      <c r="E158" s="2" t="s">
        <v>42</v>
      </c>
      <c r="F158" s="2" t="s">
        <v>43</v>
      </c>
      <c r="G158" s="2" t="s">
        <v>53</v>
      </c>
      <c r="H158" s="2" t="s">
        <v>193</v>
      </c>
      <c r="I158" s="2" t="s">
        <v>334</v>
      </c>
      <c r="J158" s="5">
        <v>1</v>
      </c>
      <c r="K158" s="6">
        <v>290</v>
      </c>
      <c r="L158" s="6">
        <f t="shared" si="6"/>
        <v>290</v>
      </c>
      <c r="M158" s="7">
        <v>0</v>
      </c>
      <c r="N158" s="6">
        <f t="shared" si="7"/>
        <v>0</v>
      </c>
      <c r="O158" s="6">
        <f t="shared" si="8"/>
        <v>290</v>
      </c>
    </row>
    <row r="159" spans="1:15">
      <c r="A159" s="8" t="s">
        <v>335</v>
      </c>
      <c r="B159" s="9">
        <v>45212</v>
      </c>
      <c r="C159" s="10">
        <v>2023</v>
      </c>
      <c r="D159" s="8" t="s">
        <v>72</v>
      </c>
      <c r="E159" s="8" t="s">
        <v>42</v>
      </c>
      <c r="F159" s="8" t="s">
        <v>43</v>
      </c>
      <c r="G159" s="8" t="s">
        <v>26</v>
      </c>
      <c r="H159" s="8" t="s">
        <v>27</v>
      </c>
      <c r="I159" s="8" t="s">
        <v>336</v>
      </c>
      <c r="J159" s="11">
        <v>1</v>
      </c>
      <c r="K159" s="12">
        <v>56500</v>
      </c>
      <c r="L159" s="12">
        <f t="shared" si="6"/>
        <v>56500</v>
      </c>
      <c r="M159" s="13">
        <v>0</v>
      </c>
      <c r="N159" s="12">
        <f t="shared" si="7"/>
        <v>0</v>
      </c>
      <c r="O159" s="12">
        <f t="shared" si="8"/>
        <v>56500</v>
      </c>
    </row>
    <row r="160" spans="1:15">
      <c r="A160" s="2" t="s">
        <v>337</v>
      </c>
      <c r="B160" s="3">
        <v>45665</v>
      </c>
      <c r="C160" s="4">
        <v>2025</v>
      </c>
      <c r="D160" s="2" t="s">
        <v>169</v>
      </c>
      <c r="E160" s="2" t="s">
        <v>17</v>
      </c>
      <c r="F160" s="2" t="s">
        <v>18</v>
      </c>
      <c r="G160" s="2" t="s">
        <v>64</v>
      </c>
      <c r="H160" s="2" t="s">
        <v>65</v>
      </c>
      <c r="I160" s="2" t="s">
        <v>66</v>
      </c>
      <c r="J160" s="5">
        <v>2</v>
      </c>
      <c r="K160" s="6">
        <v>4450</v>
      </c>
      <c r="L160" s="6">
        <f t="shared" si="6"/>
        <v>8900</v>
      </c>
      <c r="M160" s="7">
        <v>0</v>
      </c>
      <c r="N160" s="6">
        <f t="shared" si="7"/>
        <v>0</v>
      </c>
      <c r="O160" s="6">
        <f t="shared" si="8"/>
        <v>8900</v>
      </c>
    </row>
    <row r="161" spans="1:15">
      <c r="A161" s="8" t="s">
        <v>338</v>
      </c>
      <c r="B161" s="9">
        <v>45759</v>
      </c>
      <c r="C161" s="10">
        <v>2025</v>
      </c>
      <c r="D161" s="8" t="s">
        <v>30</v>
      </c>
      <c r="E161" s="8" t="s">
        <v>17</v>
      </c>
      <c r="F161" s="8" t="s">
        <v>18</v>
      </c>
      <c r="G161" s="8" t="s">
        <v>57</v>
      </c>
      <c r="H161" s="8" t="s">
        <v>58</v>
      </c>
      <c r="I161" s="8" t="s">
        <v>59</v>
      </c>
      <c r="J161" s="11">
        <v>1</v>
      </c>
      <c r="K161" s="12">
        <v>6000</v>
      </c>
      <c r="L161" s="12">
        <f t="shared" si="6"/>
        <v>6000</v>
      </c>
      <c r="M161" s="13">
        <v>0</v>
      </c>
      <c r="N161" s="12">
        <f t="shared" si="7"/>
        <v>0</v>
      </c>
      <c r="O161" s="12">
        <f t="shared" si="8"/>
        <v>6000</v>
      </c>
    </row>
    <row r="162" spans="1:15">
      <c r="A162" s="2" t="s">
        <v>339</v>
      </c>
      <c r="B162" s="3">
        <v>45444</v>
      </c>
      <c r="C162" s="4">
        <v>2024</v>
      </c>
      <c r="D162" s="2" t="s">
        <v>100</v>
      </c>
      <c r="E162" s="2" t="s">
        <v>42</v>
      </c>
      <c r="F162" s="2" t="s">
        <v>43</v>
      </c>
      <c r="G162" s="2" t="s">
        <v>31</v>
      </c>
      <c r="H162" s="2" t="s">
        <v>81</v>
      </c>
      <c r="I162" s="2" t="s">
        <v>181</v>
      </c>
      <c r="J162" s="5">
        <v>1</v>
      </c>
      <c r="K162" s="6">
        <v>600</v>
      </c>
      <c r="L162" s="6">
        <f t="shared" si="6"/>
        <v>600</v>
      </c>
      <c r="M162" s="7">
        <v>0</v>
      </c>
      <c r="N162" s="6">
        <f t="shared" si="7"/>
        <v>0</v>
      </c>
      <c r="O162" s="6">
        <f t="shared" si="8"/>
        <v>600</v>
      </c>
    </row>
    <row r="163" spans="1:15">
      <c r="A163" s="8" t="s">
        <v>340</v>
      </c>
      <c r="B163" s="9">
        <v>44928</v>
      </c>
      <c r="C163" s="10">
        <v>2023</v>
      </c>
      <c r="D163" s="8" t="s">
        <v>169</v>
      </c>
      <c r="E163" s="8" t="s">
        <v>35</v>
      </c>
      <c r="F163" s="8" t="s">
        <v>36</v>
      </c>
      <c r="G163" s="8" t="s">
        <v>19</v>
      </c>
      <c r="H163" s="8" t="s">
        <v>271</v>
      </c>
      <c r="I163" s="8" t="s">
        <v>272</v>
      </c>
      <c r="J163" s="11">
        <v>3</v>
      </c>
      <c r="K163" s="12">
        <v>850</v>
      </c>
      <c r="L163" s="12">
        <f t="shared" si="6"/>
        <v>2550</v>
      </c>
      <c r="M163" s="13">
        <v>0</v>
      </c>
      <c r="N163" s="12">
        <f t="shared" si="7"/>
        <v>0</v>
      </c>
      <c r="O163" s="12">
        <f t="shared" si="8"/>
        <v>2550</v>
      </c>
    </row>
    <row r="164" spans="1:15">
      <c r="A164" s="2" t="s">
        <v>341</v>
      </c>
      <c r="B164" s="3">
        <v>45812</v>
      </c>
      <c r="C164" s="4">
        <v>2025</v>
      </c>
      <c r="D164" s="2" t="s">
        <v>100</v>
      </c>
      <c r="E164" s="2" t="s">
        <v>35</v>
      </c>
      <c r="F164" s="2" t="s">
        <v>36</v>
      </c>
      <c r="G164" s="2" t="s">
        <v>37</v>
      </c>
      <c r="H164" s="2" t="s">
        <v>91</v>
      </c>
      <c r="I164" s="2" t="s">
        <v>153</v>
      </c>
      <c r="J164" s="5">
        <v>3</v>
      </c>
      <c r="K164" s="6">
        <v>220</v>
      </c>
      <c r="L164" s="6">
        <f t="shared" si="6"/>
        <v>660</v>
      </c>
      <c r="M164" s="7">
        <v>0</v>
      </c>
      <c r="N164" s="6">
        <f t="shared" si="7"/>
        <v>0</v>
      </c>
      <c r="O164" s="6">
        <f t="shared" si="8"/>
        <v>660</v>
      </c>
    </row>
    <row r="165" spans="1:15">
      <c r="A165" s="8" t="s">
        <v>342</v>
      </c>
      <c r="B165" s="9">
        <v>45759</v>
      </c>
      <c r="C165" s="10">
        <v>2025</v>
      </c>
      <c r="D165" s="8" t="s">
        <v>30</v>
      </c>
      <c r="E165" s="8" t="s">
        <v>17</v>
      </c>
      <c r="F165" s="8" t="s">
        <v>18</v>
      </c>
      <c r="G165" s="8" t="s">
        <v>53</v>
      </c>
      <c r="H165" s="8" t="s">
        <v>285</v>
      </c>
      <c r="I165" s="8" t="s">
        <v>286</v>
      </c>
      <c r="J165" s="11">
        <v>2</v>
      </c>
      <c r="K165" s="12">
        <v>2550</v>
      </c>
      <c r="L165" s="12">
        <f t="shared" si="6"/>
        <v>5100</v>
      </c>
      <c r="M165" s="13">
        <v>0.106</v>
      </c>
      <c r="N165" s="12">
        <f t="shared" si="7"/>
        <v>540.6</v>
      </c>
      <c r="O165" s="12">
        <f t="shared" si="8"/>
        <v>4559.3999999999996</v>
      </c>
    </row>
    <row r="166" spans="1:15">
      <c r="A166" s="2" t="s">
        <v>343</v>
      </c>
      <c r="B166" s="3">
        <v>45394</v>
      </c>
      <c r="C166" s="4">
        <v>2024</v>
      </c>
      <c r="D166" s="2" t="s">
        <v>30</v>
      </c>
      <c r="E166" s="2" t="s">
        <v>24</v>
      </c>
      <c r="F166" s="2" t="s">
        <v>25</v>
      </c>
      <c r="G166" s="2" t="s">
        <v>37</v>
      </c>
      <c r="H166" s="2" t="s">
        <v>91</v>
      </c>
      <c r="I166" s="2" t="s">
        <v>344</v>
      </c>
      <c r="J166" s="5">
        <v>1</v>
      </c>
      <c r="K166" s="6">
        <v>1700</v>
      </c>
      <c r="L166" s="6">
        <f t="shared" si="6"/>
        <v>1700</v>
      </c>
      <c r="M166" s="7">
        <v>0</v>
      </c>
      <c r="N166" s="6">
        <f t="shared" si="7"/>
        <v>0</v>
      </c>
      <c r="O166" s="6">
        <f t="shared" si="8"/>
        <v>1700</v>
      </c>
    </row>
    <row r="167" spans="1:15">
      <c r="A167" s="8" t="s">
        <v>345</v>
      </c>
      <c r="B167" s="9">
        <v>45106</v>
      </c>
      <c r="C167" s="10">
        <v>2023</v>
      </c>
      <c r="D167" s="8" t="s">
        <v>100</v>
      </c>
      <c r="E167" s="8" t="s">
        <v>17</v>
      </c>
      <c r="F167" s="8" t="s">
        <v>18</v>
      </c>
      <c r="G167" s="8" t="s">
        <v>53</v>
      </c>
      <c r="H167" s="8" t="s">
        <v>136</v>
      </c>
      <c r="I167" s="8" t="s">
        <v>346</v>
      </c>
      <c r="J167" s="11">
        <v>1</v>
      </c>
      <c r="K167" s="12">
        <v>490</v>
      </c>
      <c r="L167" s="12">
        <f t="shared" si="6"/>
        <v>490</v>
      </c>
      <c r="M167" s="13">
        <v>0.107</v>
      </c>
      <c r="N167" s="12">
        <f t="shared" si="7"/>
        <v>52.43</v>
      </c>
      <c r="O167" s="12">
        <f t="shared" si="8"/>
        <v>437.57</v>
      </c>
    </row>
    <row r="168" spans="1:15">
      <c r="A168" s="2" t="s">
        <v>347</v>
      </c>
      <c r="B168" s="3">
        <v>45455</v>
      </c>
      <c r="C168" s="4">
        <v>2024</v>
      </c>
      <c r="D168" s="2" t="s">
        <v>100</v>
      </c>
      <c r="E168" s="2" t="s">
        <v>17</v>
      </c>
      <c r="F168" s="2" t="s">
        <v>18</v>
      </c>
      <c r="G168" s="2" t="s">
        <v>44</v>
      </c>
      <c r="H168" s="2" t="s">
        <v>61</v>
      </c>
      <c r="I168" s="2" t="s">
        <v>348</v>
      </c>
      <c r="J168" s="5">
        <v>6</v>
      </c>
      <c r="K168" s="6">
        <v>350</v>
      </c>
      <c r="L168" s="6">
        <f t="shared" si="6"/>
        <v>2100</v>
      </c>
      <c r="M168" s="7">
        <v>0</v>
      </c>
      <c r="N168" s="6">
        <f t="shared" si="7"/>
        <v>0</v>
      </c>
      <c r="O168" s="6">
        <f t="shared" si="8"/>
        <v>2100</v>
      </c>
    </row>
    <row r="169" spans="1:15">
      <c r="A169" s="8" t="s">
        <v>349</v>
      </c>
      <c r="B169" s="9">
        <v>45780</v>
      </c>
      <c r="C169" s="10">
        <v>2025</v>
      </c>
      <c r="D169" s="8" t="s">
        <v>48</v>
      </c>
      <c r="E169" s="8" t="s">
        <v>42</v>
      </c>
      <c r="F169" s="8" t="s">
        <v>43</v>
      </c>
      <c r="G169" s="8" t="s">
        <v>64</v>
      </c>
      <c r="H169" s="8" t="s">
        <v>65</v>
      </c>
      <c r="I169" s="8" t="s">
        <v>66</v>
      </c>
      <c r="J169" s="11">
        <v>1</v>
      </c>
      <c r="K169" s="12">
        <v>1450</v>
      </c>
      <c r="L169" s="12">
        <f t="shared" si="6"/>
        <v>1450</v>
      </c>
      <c r="M169" s="13">
        <v>9.2999999999999999E-2</v>
      </c>
      <c r="N169" s="12">
        <f t="shared" si="7"/>
        <v>134.85</v>
      </c>
      <c r="O169" s="12">
        <f t="shared" si="8"/>
        <v>1315.15</v>
      </c>
    </row>
    <row r="170" spans="1:15">
      <c r="A170" s="2" t="s">
        <v>350</v>
      </c>
      <c r="B170" s="3">
        <v>45251</v>
      </c>
      <c r="C170" s="4">
        <v>2023</v>
      </c>
      <c r="D170" s="2" t="s">
        <v>41</v>
      </c>
      <c r="E170" s="2" t="s">
        <v>42</v>
      </c>
      <c r="F170" s="2" t="s">
        <v>43</v>
      </c>
      <c r="G170" s="2" t="s">
        <v>31</v>
      </c>
      <c r="H170" s="2" t="s">
        <v>81</v>
      </c>
      <c r="I170" s="2" t="s">
        <v>82</v>
      </c>
      <c r="J170" s="5">
        <v>12</v>
      </c>
      <c r="K170" s="6">
        <v>750</v>
      </c>
      <c r="L170" s="6">
        <f t="shared" si="6"/>
        <v>9000</v>
      </c>
      <c r="M170" s="7">
        <v>0</v>
      </c>
      <c r="N170" s="6">
        <f t="shared" si="7"/>
        <v>0</v>
      </c>
      <c r="O170" s="6">
        <f t="shared" si="8"/>
        <v>9000</v>
      </c>
    </row>
    <row r="171" spans="1:15">
      <c r="A171" s="8" t="s">
        <v>351</v>
      </c>
      <c r="B171" s="9">
        <v>45151</v>
      </c>
      <c r="C171" s="10">
        <v>2023</v>
      </c>
      <c r="D171" s="8" t="s">
        <v>52</v>
      </c>
      <c r="E171" s="8" t="s">
        <v>17</v>
      </c>
      <c r="F171" s="8" t="s">
        <v>18</v>
      </c>
      <c r="G171" s="8" t="s">
        <v>57</v>
      </c>
      <c r="H171" s="8" t="s">
        <v>75</v>
      </c>
      <c r="I171" s="8" t="s">
        <v>76</v>
      </c>
      <c r="J171" s="11">
        <v>1</v>
      </c>
      <c r="K171" s="12">
        <v>4250</v>
      </c>
      <c r="L171" s="12">
        <f t="shared" si="6"/>
        <v>4250</v>
      </c>
      <c r="M171" s="13">
        <v>0</v>
      </c>
      <c r="N171" s="12">
        <f t="shared" si="7"/>
        <v>0</v>
      </c>
      <c r="O171" s="12">
        <f t="shared" si="8"/>
        <v>4250</v>
      </c>
    </row>
    <row r="172" spans="1:15">
      <c r="A172" s="2" t="s">
        <v>352</v>
      </c>
      <c r="B172" s="3">
        <v>45131</v>
      </c>
      <c r="C172" s="4">
        <v>2023</v>
      </c>
      <c r="D172" s="2" t="s">
        <v>68</v>
      </c>
      <c r="E172" s="2" t="s">
        <v>17</v>
      </c>
      <c r="F172" s="2" t="s">
        <v>18</v>
      </c>
      <c r="G172" s="2" t="s">
        <v>53</v>
      </c>
      <c r="H172" s="2" t="s">
        <v>285</v>
      </c>
      <c r="I172" s="2" t="s">
        <v>286</v>
      </c>
      <c r="J172" s="5">
        <v>3</v>
      </c>
      <c r="K172" s="6">
        <v>2000</v>
      </c>
      <c r="L172" s="6">
        <f t="shared" si="6"/>
        <v>6000</v>
      </c>
      <c r="M172" s="7">
        <v>2.8000000000000001E-2</v>
      </c>
      <c r="N172" s="6">
        <f t="shared" si="7"/>
        <v>168</v>
      </c>
      <c r="O172" s="6">
        <f t="shared" si="8"/>
        <v>5832</v>
      </c>
    </row>
    <row r="173" spans="1:15">
      <c r="A173" s="8" t="s">
        <v>353</v>
      </c>
      <c r="B173" s="9">
        <v>45398</v>
      </c>
      <c r="C173" s="10">
        <v>2024</v>
      </c>
      <c r="D173" s="8" t="s">
        <v>30</v>
      </c>
      <c r="E173" s="8" t="s">
        <v>42</v>
      </c>
      <c r="F173" s="8" t="s">
        <v>43</v>
      </c>
      <c r="G173" s="8" t="s">
        <v>19</v>
      </c>
      <c r="H173" s="8" t="s">
        <v>107</v>
      </c>
      <c r="I173" s="8" t="s">
        <v>242</v>
      </c>
      <c r="J173" s="11">
        <v>10</v>
      </c>
      <c r="K173" s="12">
        <v>1000</v>
      </c>
      <c r="L173" s="12">
        <f t="shared" si="6"/>
        <v>10000</v>
      </c>
      <c r="M173" s="13">
        <v>0</v>
      </c>
      <c r="N173" s="12">
        <f t="shared" si="7"/>
        <v>0</v>
      </c>
      <c r="O173" s="12">
        <f t="shared" si="8"/>
        <v>10000</v>
      </c>
    </row>
    <row r="174" spans="1:15">
      <c r="A174" s="2" t="s">
        <v>354</v>
      </c>
      <c r="B174" s="3">
        <v>45821</v>
      </c>
      <c r="C174" s="4">
        <v>2025</v>
      </c>
      <c r="D174" s="2" t="s">
        <v>100</v>
      </c>
      <c r="E174" s="2" t="s">
        <v>42</v>
      </c>
      <c r="F174" s="2" t="s">
        <v>43</v>
      </c>
      <c r="G174" s="2" t="s">
        <v>26</v>
      </c>
      <c r="H174" s="2" t="s">
        <v>113</v>
      </c>
      <c r="I174" s="2" t="s">
        <v>114</v>
      </c>
      <c r="J174" s="5">
        <v>1</v>
      </c>
      <c r="K174" s="6">
        <v>52000</v>
      </c>
      <c r="L174" s="6">
        <f t="shared" si="6"/>
        <v>52000</v>
      </c>
      <c r="M174" s="7">
        <v>0.1</v>
      </c>
      <c r="N174" s="6">
        <f t="shared" si="7"/>
        <v>5200</v>
      </c>
      <c r="O174" s="6">
        <f t="shared" si="8"/>
        <v>46800</v>
      </c>
    </row>
    <row r="175" spans="1:15">
      <c r="A175" s="8" t="s">
        <v>355</v>
      </c>
      <c r="B175" s="9">
        <v>45541</v>
      </c>
      <c r="C175" s="10">
        <v>2024</v>
      </c>
      <c r="D175" s="8" t="s">
        <v>123</v>
      </c>
      <c r="E175" s="8" t="s">
        <v>17</v>
      </c>
      <c r="F175" s="8" t="s">
        <v>18</v>
      </c>
      <c r="G175" s="8" t="s">
        <v>31</v>
      </c>
      <c r="H175" s="8" t="s">
        <v>84</v>
      </c>
      <c r="I175" s="8" t="s">
        <v>356</v>
      </c>
      <c r="J175" s="11">
        <v>10</v>
      </c>
      <c r="K175" s="12">
        <v>850</v>
      </c>
      <c r="L175" s="12">
        <f t="shared" si="6"/>
        <v>8500</v>
      </c>
      <c r="M175" s="13">
        <v>0</v>
      </c>
      <c r="N175" s="12">
        <f t="shared" si="7"/>
        <v>0</v>
      </c>
      <c r="O175" s="12">
        <f t="shared" si="8"/>
        <v>8500</v>
      </c>
    </row>
    <row r="176" spans="1:15">
      <c r="A176" s="2" t="s">
        <v>357</v>
      </c>
      <c r="B176" s="3">
        <v>45475</v>
      </c>
      <c r="C176" s="4">
        <v>2024</v>
      </c>
      <c r="D176" s="2" t="s">
        <v>68</v>
      </c>
      <c r="E176" s="2" t="s">
        <v>24</v>
      </c>
      <c r="F176" s="2" t="s">
        <v>25</v>
      </c>
      <c r="G176" s="2" t="s">
        <v>64</v>
      </c>
      <c r="H176" s="2" t="s">
        <v>97</v>
      </c>
      <c r="I176" s="2" t="s">
        <v>134</v>
      </c>
      <c r="J176" s="5">
        <v>1</v>
      </c>
      <c r="K176" s="6">
        <v>900</v>
      </c>
      <c r="L176" s="6">
        <f t="shared" si="6"/>
        <v>900</v>
      </c>
      <c r="M176" s="7">
        <v>0</v>
      </c>
      <c r="N176" s="6">
        <f t="shared" si="7"/>
        <v>0</v>
      </c>
      <c r="O176" s="6">
        <f t="shared" si="8"/>
        <v>900</v>
      </c>
    </row>
    <row r="177" spans="1:15">
      <c r="A177" s="8" t="s">
        <v>358</v>
      </c>
      <c r="B177" s="9">
        <v>45746</v>
      </c>
      <c r="C177" s="10">
        <v>2025</v>
      </c>
      <c r="D177" s="8" t="s">
        <v>78</v>
      </c>
      <c r="E177" s="8" t="s">
        <v>24</v>
      </c>
      <c r="F177" s="8" t="s">
        <v>25</v>
      </c>
      <c r="G177" s="8" t="s">
        <v>64</v>
      </c>
      <c r="H177" s="8" t="s">
        <v>65</v>
      </c>
      <c r="I177" s="8" t="s">
        <v>73</v>
      </c>
      <c r="J177" s="11">
        <v>2</v>
      </c>
      <c r="K177" s="12">
        <v>950</v>
      </c>
      <c r="L177" s="12">
        <f t="shared" si="6"/>
        <v>1900</v>
      </c>
      <c r="M177" s="13">
        <v>0</v>
      </c>
      <c r="N177" s="12">
        <f t="shared" si="7"/>
        <v>0</v>
      </c>
      <c r="O177" s="12">
        <f t="shared" si="8"/>
        <v>1900</v>
      </c>
    </row>
    <row r="178" spans="1:15">
      <c r="A178" s="2" t="s">
        <v>359</v>
      </c>
      <c r="B178" s="3">
        <v>45950</v>
      </c>
      <c r="C178" s="4">
        <v>2025</v>
      </c>
      <c r="D178" s="2" t="s">
        <v>72</v>
      </c>
      <c r="E178" s="2" t="s">
        <v>35</v>
      </c>
      <c r="F178" s="2" t="s">
        <v>36</v>
      </c>
      <c r="G178" s="2" t="s">
        <v>57</v>
      </c>
      <c r="H178" s="2" t="s">
        <v>200</v>
      </c>
      <c r="I178" s="2" t="s">
        <v>360</v>
      </c>
      <c r="J178" s="5">
        <v>1</v>
      </c>
      <c r="K178" s="6">
        <v>6000</v>
      </c>
      <c r="L178" s="6">
        <f t="shared" si="6"/>
        <v>6000</v>
      </c>
      <c r="M178" s="7">
        <v>0</v>
      </c>
      <c r="N178" s="6">
        <f t="shared" si="7"/>
        <v>0</v>
      </c>
      <c r="O178" s="6">
        <f t="shared" si="8"/>
        <v>6000</v>
      </c>
    </row>
    <row r="179" spans="1:15">
      <c r="A179" s="8" t="s">
        <v>361</v>
      </c>
      <c r="B179" s="9">
        <v>45524</v>
      </c>
      <c r="C179" s="10">
        <v>2024</v>
      </c>
      <c r="D179" s="8" t="s">
        <v>52</v>
      </c>
      <c r="E179" s="8" t="s">
        <v>42</v>
      </c>
      <c r="F179" s="8" t="s">
        <v>43</v>
      </c>
      <c r="G179" s="8" t="s">
        <v>44</v>
      </c>
      <c r="H179" s="8" t="s">
        <v>45</v>
      </c>
      <c r="I179" s="8" t="s">
        <v>46</v>
      </c>
      <c r="J179" s="11">
        <v>3</v>
      </c>
      <c r="K179" s="12">
        <v>900</v>
      </c>
      <c r="L179" s="12">
        <f t="shared" si="6"/>
        <v>2700</v>
      </c>
      <c r="M179" s="13">
        <v>0</v>
      </c>
      <c r="N179" s="12">
        <f t="shared" si="7"/>
        <v>0</v>
      </c>
      <c r="O179" s="12">
        <f t="shared" si="8"/>
        <v>2700</v>
      </c>
    </row>
    <row r="180" spans="1:15">
      <c r="A180" s="2" t="s">
        <v>362</v>
      </c>
      <c r="B180" s="3">
        <v>45273</v>
      </c>
      <c r="C180" s="4">
        <v>2023</v>
      </c>
      <c r="D180" s="2" t="s">
        <v>16</v>
      </c>
      <c r="E180" s="2" t="s">
        <v>17</v>
      </c>
      <c r="F180" s="2" t="s">
        <v>18</v>
      </c>
      <c r="G180" s="2" t="s">
        <v>44</v>
      </c>
      <c r="H180" s="2" t="s">
        <v>223</v>
      </c>
      <c r="I180" s="2" t="s">
        <v>239</v>
      </c>
      <c r="J180" s="5">
        <v>2</v>
      </c>
      <c r="K180" s="6">
        <v>1450</v>
      </c>
      <c r="L180" s="6">
        <f t="shared" si="6"/>
        <v>2900</v>
      </c>
      <c r="M180" s="7">
        <v>0</v>
      </c>
      <c r="N180" s="6">
        <f t="shared" si="7"/>
        <v>0</v>
      </c>
      <c r="O180" s="6">
        <f t="shared" si="8"/>
        <v>2900</v>
      </c>
    </row>
    <row r="181" spans="1:15">
      <c r="A181" s="8" t="s">
        <v>363</v>
      </c>
      <c r="B181" s="9">
        <v>45419</v>
      </c>
      <c r="C181" s="10">
        <v>2024</v>
      </c>
      <c r="D181" s="8" t="s">
        <v>48</v>
      </c>
      <c r="E181" s="8" t="s">
        <v>35</v>
      </c>
      <c r="F181" s="8" t="s">
        <v>36</v>
      </c>
      <c r="G181" s="8" t="s">
        <v>26</v>
      </c>
      <c r="H181" s="8" t="s">
        <v>101</v>
      </c>
      <c r="I181" s="8" t="s">
        <v>229</v>
      </c>
      <c r="J181" s="11">
        <v>1</v>
      </c>
      <c r="K181" s="12">
        <v>65500</v>
      </c>
      <c r="L181" s="12">
        <f t="shared" si="6"/>
        <v>65500</v>
      </c>
      <c r="M181" s="13">
        <v>0</v>
      </c>
      <c r="N181" s="12">
        <f t="shared" si="7"/>
        <v>0</v>
      </c>
      <c r="O181" s="12">
        <f t="shared" si="8"/>
        <v>65500</v>
      </c>
    </row>
    <row r="182" spans="1:15">
      <c r="A182" s="2" t="s">
        <v>364</v>
      </c>
      <c r="B182" s="3">
        <v>45090</v>
      </c>
      <c r="C182" s="4">
        <v>2023</v>
      </c>
      <c r="D182" s="2" t="s">
        <v>100</v>
      </c>
      <c r="E182" s="2" t="s">
        <v>42</v>
      </c>
      <c r="F182" s="2" t="s">
        <v>43</v>
      </c>
      <c r="G182" s="2" t="s">
        <v>44</v>
      </c>
      <c r="H182" s="2" t="s">
        <v>61</v>
      </c>
      <c r="I182" s="2" t="s">
        <v>348</v>
      </c>
      <c r="J182" s="5">
        <v>8</v>
      </c>
      <c r="K182" s="6">
        <v>900</v>
      </c>
      <c r="L182" s="6">
        <f t="shared" si="6"/>
        <v>7200</v>
      </c>
      <c r="M182" s="7">
        <v>0</v>
      </c>
      <c r="N182" s="6">
        <f t="shared" si="7"/>
        <v>0</v>
      </c>
      <c r="O182" s="6">
        <f t="shared" si="8"/>
        <v>7200</v>
      </c>
    </row>
    <row r="183" spans="1:15">
      <c r="A183" s="8" t="s">
        <v>365</v>
      </c>
      <c r="B183" s="9">
        <v>45835</v>
      </c>
      <c r="C183" s="10">
        <v>2025</v>
      </c>
      <c r="D183" s="8" t="s">
        <v>100</v>
      </c>
      <c r="E183" s="8" t="s">
        <v>42</v>
      </c>
      <c r="F183" s="8" t="s">
        <v>43</v>
      </c>
      <c r="G183" s="8" t="s">
        <v>19</v>
      </c>
      <c r="H183" s="8" t="s">
        <v>107</v>
      </c>
      <c r="I183" s="8" t="s">
        <v>108</v>
      </c>
      <c r="J183" s="11">
        <v>5</v>
      </c>
      <c r="K183" s="12">
        <v>500</v>
      </c>
      <c r="L183" s="12">
        <f t="shared" si="6"/>
        <v>2500</v>
      </c>
      <c r="M183" s="13">
        <v>0</v>
      </c>
      <c r="N183" s="12">
        <f t="shared" si="7"/>
        <v>0</v>
      </c>
      <c r="O183" s="12">
        <f t="shared" si="8"/>
        <v>2500</v>
      </c>
    </row>
    <row r="184" spans="1:15">
      <c r="A184" s="2" t="s">
        <v>366</v>
      </c>
      <c r="B184" s="3">
        <v>45989</v>
      </c>
      <c r="C184" s="4">
        <v>2025</v>
      </c>
      <c r="D184" s="2" t="s">
        <v>41</v>
      </c>
      <c r="E184" s="2" t="s">
        <v>24</v>
      </c>
      <c r="F184" s="2" t="s">
        <v>25</v>
      </c>
      <c r="G184" s="2" t="s">
        <v>64</v>
      </c>
      <c r="H184" s="2" t="s">
        <v>97</v>
      </c>
      <c r="I184" s="2" t="s">
        <v>134</v>
      </c>
      <c r="J184" s="5">
        <v>1</v>
      </c>
      <c r="K184" s="6">
        <v>4050</v>
      </c>
      <c r="L184" s="6">
        <f t="shared" si="6"/>
        <v>4050</v>
      </c>
      <c r="M184" s="7">
        <v>0</v>
      </c>
      <c r="N184" s="6">
        <f t="shared" si="7"/>
        <v>0</v>
      </c>
      <c r="O184" s="6">
        <f t="shared" si="8"/>
        <v>4050</v>
      </c>
    </row>
    <row r="185" spans="1:15">
      <c r="A185" s="8" t="s">
        <v>367</v>
      </c>
      <c r="B185" s="9">
        <v>45732</v>
      </c>
      <c r="C185" s="10">
        <v>2025</v>
      </c>
      <c r="D185" s="8" t="s">
        <v>78</v>
      </c>
      <c r="E185" s="8" t="s">
        <v>35</v>
      </c>
      <c r="F185" s="8" t="s">
        <v>36</v>
      </c>
      <c r="G185" s="8" t="s">
        <v>64</v>
      </c>
      <c r="H185" s="8" t="s">
        <v>127</v>
      </c>
      <c r="I185" s="8" t="s">
        <v>317</v>
      </c>
      <c r="J185" s="11">
        <v>2</v>
      </c>
      <c r="K185" s="12">
        <v>2850</v>
      </c>
      <c r="L185" s="12">
        <f t="shared" si="6"/>
        <v>5700</v>
      </c>
      <c r="M185" s="13">
        <v>0</v>
      </c>
      <c r="N185" s="12">
        <f t="shared" si="7"/>
        <v>0</v>
      </c>
      <c r="O185" s="12">
        <f t="shared" si="8"/>
        <v>5700</v>
      </c>
    </row>
    <row r="186" spans="1:15">
      <c r="A186" s="2" t="s">
        <v>368</v>
      </c>
      <c r="B186" s="3">
        <v>45768</v>
      </c>
      <c r="C186" s="4">
        <v>2025</v>
      </c>
      <c r="D186" s="2" t="s">
        <v>30</v>
      </c>
      <c r="E186" s="2" t="s">
        <v>24</v>
      </c>
      <c r="F186" s="2" t="s">
        <v>25</v>
      </c>
      <c r="G186" s="2" t="s">
        <v>19</v>
      </c>
      <c r="H186" s="2" t="s">
        <v>69</v>
      </c>
      <c r="I186" s="2" t="s">
        <v>70</v>
      </c>
      <c r="J186" s="5">
        <v>2</v>
      </c>
      <c r="K186" s="6">
        <v>2200</v>
      </c>
      <c r="L186" s="6">
        <f t="shared" si="6"/>
        <v>4400</v>
      </c>
      <c r="M186" s="7">
        <v>0</v>
      </c>
      <c r="N186" s="6">
        <f t="shared" si="7"/>
        <v>0</v>
      </c>
      <c r="O186" s="6">
        <f t="shared" si="8"/>
        <v>4400</v>
      </c>
    </row>
    <row r="187" spans="1:15">
      <c r="A187" s="8" t="s">
        <v>369</v>
      </c>
      <c r="B187" s="9">
        <v>45922</v>
      </c>
      <c r="C187" s="10">
        <v>2025</v>
      </c>
      <c r="D187" s="8" t="s">
        <v>123</v>
      </c>
      <c r="E187" s="8" t="s">
        <v>17</v>
      </c>
      <c r="F187" s="8" t="s">
        <v>18</v>
      </c>
      <c r="G187" s="8" t="s">
        <v>53</v>
      </c>
      <c r="H187" s="8" t="s">
        <v>193</v>
      </c>
      <c r="I187" s="8" t="s">
        <v>208</v>
      </c>
      <c r="J187" s="11">
        <v>1</v>
      </c>
      <c r="K187" s="12">
        <v>2450</v>
      </c>
      <c r="L187" s="12">
        <f t="shared" si="6"/>
        <v>2450</v>
      </c>
      <c r="M187" s="13">
        <v>4.5999999999999999E-2</v>
      </c>
      <c r="N187" s="12">
        <f t="shared" si="7"/>
        <v>112.7</v>
      </c>
      <c r="O187" s="12">
        <f t="shared" si="8"/>
        <v>2337.3000000000002</v>
      </c>
    </row>
    <row r="188" spans="1:15">
      <c r="A188" s="2" t="s">
        <v>370</v>
      </c>
      <c r="B188" s="3">
        <v>45489</v>
      </c>
      <c r="C188" s="4">
        <v>2024</v>
      </c>
      <c r="D188" s="2" t="s">
        <v>68</v>
      </c>
      <c r="E188" s="2" t="s">
        <v>42</v>
      </c>
      <c r="F188" s="2" t="s">
        <v>43</v>
      </c>
      <c r="G188" s="2" t="s">
        <v>53</v>
      </c>
      <c r="H188" s="2" t="s">
        <v>54</v>
      </c>
      <c r="I188" s="2" t="s">
        <v>268</v>
      </c>
      <c r="J188" s="5">
        <v>1</v>
      </c>
      <c r="K188" s="6">
        <v>3350</v>
      </c>
      <c r="L188" s="6">
        <f t="shared" si="6"/>
        <v>3350</v>
      </c>
      <c r="M188" s="7">
        <v>0.13900000000000001</v>
      </c>
      <c r="N188" s="6">
        <f t="shared" si="7"/>
        <v>465.65000000000003</v>
      </c>
      <c r="O188" s="6">
        <f t="shared" si="8"/>
        <v>2884.35</v>
      </c>
    </row>
    <row r="189" spans="1:15">
      <c r="A189" s="8" t="s">
        <v>371</v>
      </c>
      <c r="B189" s="9">
        <v>45406</v>
      </c>
      <c r="C189" s="10">
        <v>2024</v>
      </c>
      <c r="D189" s="8" t="s">
        <v>30</v>
      </c>
      <c r="E189" s="8" t="s">
        <v>17</v>
      </c>
      <c r="F189" s="8" t="s">
        <v>18</v>
      </c>
      <c r="G189" s="8" t="s">
        <v>37</v>
      </c>
      <c r="H189" s="8" t="s">
        <v>104</v>
      </c>
      <c r="I189" s="8" t="s">
        <v>105</v>
      </c>
      <c r="J189" s="11">
        <v>1</v>
      </c>
      <c r="K189" s="12">
        <v>2600</v>
      </c>
      <c r="L189" s="12">
        <f t="shared" si="6"/>
        <v>2600</v>
      </c>
      <c r="M189" s="13">
        <v>0</v>
      </c>
      <c r="N189" s="12">
        <f t="shared" si="7"/>
        <v>0</v>
      </c>
      <c r="O189" s="12">
        <f t="shared" si="8"/>
        <v>2600</v>
      </c>
    </row>
    <row r="190" spans="1:15">
      <c r="A190" s="2" t="s">
        <v>372</v>
      </c>
      <c r="B190" s="3">
        <v>45314</v>
      </c>
      <c r="C190" s="4">
        <v>2024</v>
      </c>
      <c r="D190" s="2" t="s">
        <v>169</v>
      </c>
      <c r="E190" s="2" t="s">
        <v>24</v>
      </c>
      <c r="F190" s="2" t="s">
        <v>25</v>
      </c>
      <c r="G190" s="2" t="s">
        <v>53</v>
      </c>
      <c r="H190" s="2" t="s">
        <v>136</v>
      </c>
      <c r="I190" s="2" t="s">
        <v>245</v>
      </c>
      <c r="J190" s="5">
        <v>4</v>
      </c>
      <c r="K190" s="6">
        <v>1050</v>
      </c>
      <c r="L190" s="6">
        <f t="shared" si="6"/>
        <v>4200</v>
      </c>
      <c r="M190" s="7">
        <v>0</v>
      </c>
      <c r="N190" s="6">
        <f t="shared" si="7"/>
        <v>0</v>
      </c>
      <c r="O190" s="6">
        <f t="shared" si="8"/>
        <v>4200</v>
      </c>
    </row>
    <row r="191" spans="1:15">
      <c r="A191" s="8" t="s">
        <v>373</v>
      </c>
      <c r="B191" s="9">
        <v>45201</v>
      </c>
      <c r="C191" s="10">
        <v>2023</v>
      </c>
      <c r="D191" s="8" t="s">
        <v>72</v>
      </c>
      <c r="E191" s="8" t="s">
        <v>42</v>
      </c>
      <c r="F191" s="8" t="s">
        <v>43</v>
      </c>
      <c r="G191" s="8" t="s">
        <v>53</v>
      </c>
      <c r="H191" s="8" t="s">
        <v>136</v>
      </c>
      <c r="I191" s="8" t="s">
        <v>137</v>
      </c>
      <c r="J191" s="11">
        <v>1</v>
      </c>
      <c r="K191" s="12">
        <v>800</v>
      </c>
      <c r="L191" s="12">
        <f t="shared" si="6"/>
        <v>800</v>
      </c>
      <c r="M191" s="13">
        <v>0</v>
      </c>
      <c r="N191" s="12">
        <f t="shared" si="7"/>
        <v>0</v>
      </c>
      <c r="O191" s="12">
        <f t="shared" si="8"/>
        <v>800</v>
      </c>
    </row>
    <row r="192" spans="1:15">
      <c r="A192" s="2" t="s">
        <v>374</v>
      </c>
      <c r="B192" s="3">
        <v>45352</v>
      </c>
      <c r="C192" s="4">
        <v>2024</v>
      </c>
      <c r="D192" s="2" t="s">
        <v>78</v>
      </c>
      <c r="E192" s="2" t="s">
        <v>24</v>
      </c>
      <c r="F192" s="2" t="s">
        <v>25</v>
      </c>
      <c r="G192" s="2" t="s">
        <v>44</v>
      </c>
      <c r="H192" s="2" t="s">
        <v>176</v>
      </c>
      <c r="I192" s="2" t="s">
        <v>375</v>
      </c>
      <c r="J192" s="5">
        <v>1</v>
      </c>
      <c r="K192" s="6">
        <v>850</v>
      </c>
      <c r="L192" s="6">
        <f t="shared" si="6"/>
        <v>850</v>
      </c>
      <c r="M192" s="7">
        <v>0</v>
      </c>
      <c r="N192" s="6">
        <f t="shared" si="7"/>
        <v>0</v>
      </c>
      <c r="O192" s="6">
        <f t="shared" si="8"/>
        <v>850</v>
      </c>
    </row>
    <row r="193" spans="1:15">
      <c r="A193" s="8" t="s">
        <v>376</v>
      </c>
      <c r="B193" s="9">
        <v>45807</v>
      </c>
      <c r="C193" s="10">
        <v>2025</v>
      </c>
      <c r="D193" s="8" t="s">
        <v>48</v>
      </c>
      <c r="E193" s="8" t="s">
        <v>17</v>
      </c>
      <c r="F193" s="8" t="s">
        <v>18</v>
      </c>
      <c r="G193" s="8" t="s">
        <v>44</v>
      </c>
      <c r="H193" s="8" t="s">
        <v>61</v>
      </c>
      <c r="I193" s="8" t="s">
        <v>377</v>
      </c>
      <c r="J193" s="11">
        <v>1</v>
      </c>
      <c r="K193" s="12">
        <v>1400</v>
      </c>
      <c r="L193" s="12">
        <f t="shared" si="6"/>
        <v>1400</v>
      </c>
      <c r="M193" s="13">
        <v>0</v>
      </c>
      <c r="N193" s="12">
        <f t="shared" si="7"/>
        <v>0</v>
      </c>
      <c r="O193" s="12">
        <f t="shared" si="8"/>
        <v>1400</v>
      </c>
    </row>
    <row r="194" spans="1:15">
      <c r="A194" s="2" t="s">
        <v>378</v>
      </c>
      <c r="B194" s="3">
        <v>44990</v>
      </c>
      <c r="C194" s="4">
        <v>2023</v>
      </c>
      <c r="D194" s="2" t="s">
        <v>78</v>
      </c>
      <c r="E194" s="2" t="s">
        <v>17</v>
      </c>
      <c r="F194" s="2" t="s">
        <v>18</v>
      </c>
      <c r="G194" s="2" t="s">
        <v>19</v>
      </c>
      <c r="H194" s="2" t="s">
        <v>107</v>
      </c>
      <c r="I194" s="2" t="s">
        <v>146</v>
      </c>
      <c r="J194" s="5">
        <v>10</v>
      </c>
      <c r="K194" s="6">
        <v>600</v>
      </c>
      <c r="L194" s="6">
        <f t="shared" ref="L194:L257" si="9">J194*K194</f>
        <v>6000</v>
      </c>
      <c r="M194" s="7">
        <v>3.4000000000000002E-2</v>
      </c>
      <c r="N194" s="6">
        <f t="shared" ref="N194:N257" si="10">L194*M194</f>
        <v>204.00000000000003</v>
      </c>
      <c r="O194" s="6">
        <f t="shared" ref="O194:O257" si="11">L194-N194</f>
        <v>5796</v>
      </c>
    </row>
    <row r="195" spans="1:15">
      <c r="A195" s="8" t="s">
        <v>379</v>
      </c>
      <c r="B195" s="9">
        <v>44941</v>
      </c>
      <c r="C195" s="10">
        <v>2023</v>
      </c>
      <c r="D195" s="8" t="s">
        <v>169</v>
      </c>
      <c r="E195" s="8" t="s">
        <v>42</v>
      </c>
      <c r="F195" s="8" t="s">
        <v>43</v>
      </c>
      <c r="G195" s="8" t="s">
        <v>31</v>
      </c>
      <c r="H195" s="8" t="s">
        <v>124</v>
      </c>
      <c r="I195" s="8" t="s">
        <v>188</v>
      </c>
      <c r="J195" s="11">
        <v>10</v>
      </c>
      <c r="K195" s="12">
        <v>700</v>
      </c>
      <c r="L195" s="12">
        <f t="shared" si="9"/>
        <v>7000</v>
      </c>
      <c r="M195" s="13">
        <v>0</v>
      </c>
      <c r="N195" s="12">
        <f t="shared" si="10"/>
        <v>0</v>
      </c>
      <c r="O195" s="12">
        <f t="shared" si="11"/>
        <v>7000</v>
      </c>
    </row>
    <row r="196" spans="1:15">
      <c r="A196" s="2" t="s">
        <v>380</v>
      </c>
      <c r="B196" s="3">
        <v>45608</v>
      </c>
      <c r="C196" s="4">
        <v>2024</v>
      </c>
      <c r="D196" s="2" t="s">
        <v>41</v>
      </c>
      <c r="E196" s="2" t="s">
        <v>24</v>
      </c>
      <c r="F196" s="2" t="s">
        <v>25</v>
      </c>
      <c r="G196" s="2" t="s">
        <v>53</v>
      </c>
      <c r="H196" s="2" t="s">
        <v>136</v>
      </c>
      <c r="I196" s="2" t="s">
        <v>322</v>
      </c>
      <c r="J196" s="5">
        <v>3</v>
      </c>
      <c r="K196" s="6">
        <v>1250</v>
      </c>
      <c r="L196" s="6">
        <f t="shared" si="9"/>
        <v>3750</v>
      </c>
      <c r="M196" s="7">
        <v>0</v>
      </c>
      <c r="N196" s="6">
        <f t="shared" si="10"/>
        <v>0</v>
      </c>
      <c r="O196" s="6">
        <f t="shared" si="11"/>
        <v>3750</v>
      </c>
    </row>
    <row r="197" spans="1:15">
      <c r="A197" s="8" t="s">
        <v>381</v>
      </c>
      <c r="B197" s="9">
        <v>45237</v>
      </c>
      <c r="C197" s="10">
        <v>2023</v>
      </c>
      <c r="D197" s="8" t="s">
        <v>41</v>
      </c>
      <c r="E197" s="8" t="s">
        <v>17</v>
      </c>
      <c r="F197" s="8" t="s">
        <v>18</v>
      </c>
      <c r="G197" s="8" t="s">
        <v>31</v>
      </c>
      <c r="H197" s="8" t="s">
        <v>84</v>
      </c>
      <c r="I197" s="8" t="s">
        <v>85</v>
      </c>
      <c r="J197" s="11">
        <v>2</v>
      </c>
      <c r="K197" s="12">
        <v>190</v>
      </c>
      <c r="L197" s="12">
        <f t="shared" si="9"/>
        <v>380</v>
      </c>
      <c r="M197" s="13">
        <v>1.4999999999999999E-2</v>
      </c>
      <c r="N197" s="12">
        <f t="shared" si="10"/>
        <v>5.7</v>
      </c>
      <c r="O197" s="12">
        <f t="shared" si="11"/>
        <v>374.3</v>
      </c>
    </row>
    <row r="198" spans="1:15">
      <c r="A198" s="2" t="s">
        <v>382</v>
      </c>
      <c r="B198" s="3">
        <v>45320</v>
      </c>
      <c r="C198" s="4">
        <v>2024</v>
      </c>
      <c r="D198" s="2" t="s">
        <v>169</v>
      </c>
      <c r="E198" s="2" t="s">
        <v>17</v>
      </c>
      <c r="F198" s="2" t="s">
        <v>18</v>
      </c>
      <c r="G198" s="2" t="s">
        <v>26</v>
      </c>
      <c r="H198" s="2" t="s">
        <v>101</v>
      </c>
      <c r="I198" s="2" t="s">
        <v>102</v>
      </c>
      <c r="J198" s="5">
        <v>1</v>
      </c>
      <c r="K198" s="6">
        <v>55000</v>
      </c>
      <c r="L198" s="6">
        <f t="shared" si="9"/>
        <v>55000</v>
      </c>
      <c r="M198" s="7">
        <v>0</v>
      </c>
      <c r="N198" s="6">
        <f t="shared" si="10"/>
        <v>0</v>
      </c>
      <c r="O198" s="6">
        <f t="shared" si="11"/>
        <v>55000</v>
      </c>
    </row>
    <row r="199" spans="1:15">
      <c r="A199" s="8" t="s">
        <v>383</v>
      </c>
      <c r="B199" s="9">
        <v>45925</v>
      </c>
      <c r="C199" s="10">
        <v>2025</v>
      </c>
      <c r="D199" s="8" t="s">
        <v>123</v>
      </c>
      <c r="E199" s="8" t="s">
        <v>35</v>
      </c>
      <c r="F199" s="8" t="s">
        <v>36</v>
      </c>
      <c r="G199" s="8" t="s">
        <v>37</v>
      </c>
      <c r="H199" s="8" t="s">
        <v>49</v>
      </c>
      <c r="I199" s="8" t="s">
        <v>164</v>
      </c>
      <c r="J199" s="11">
        <v>3</v>
      </c>
      <c r="K199" s="12">
        <v>2000</v>
      </c>
      <c r="L199" s="12">
        <f t="shared" si="9"/>
        <v>6000</v>
      </c>
      <c r="M199" s="13">
        <v>0</v>
      </c>
      <c r="N199" s="12">
        <f t="shared" si="10"/>
        <v>0</v>
      </c>
      <c r="O199" s="12">
        <f t="shared" si="11"/>
        <v>6000</v>
      </c>
    </row>
    <row r="200" spans="1:15">
      <c r="A200" s="2" t="s">
        <v>384</v>
      </c>
      <c r="B200" s="3">
        <v>45470</v>
      </c>
      <c r="C200" s="4">
        <v>2024</v>
      </c>
      <c r="D200" s="2" t="s">
        <v>100</v>
      </c>
      <c r="E200" s="2" t="s">
        <v>42</v>
      </c>
      <c r="F200" s="2" t="s">
        <v>43</v>
      </c>
      <c r="G200" s="2" t="s">
        <v>53</v>
      </c>
      <c r="H200" s="2" t="s">
        <v>136</v>
      </c>
      <c r="I200" s="2" t="s">
        <v>346</v>
      </c>
      <c r="J200" s="5">
        <v>1</v>
      </c>
      <c r="K200" s="6">
        <v>3350</v>
      </c>
      <c r="L200" s="6">
        <f t="shared" si="9"/>
        <v>3350</v>
      </c>
      <c r="M200" s="7">
        <v>0.14899999999999999</v>
      </c>
      <c r="N200" s="6">
        <f t="shared" si="10"/>
        <v>499.15</v>
      </c>
      <c r="O200" s="6">
        <f t="shared" si="11"/>
        <v>2850.85</v>
      </c>
    </row>
    <row r="201" spans="1:15">
      <c r="A201" s="8" t="s">
        <v>385</v>
      </c>
      <c r="B201" s="9">
        <v>45304</v>
      </c>
      <c r="C201" s="10">
        <v>2024</v>
      </c>
      <c r="D201" s="8" t="s">
        <v>169</v>
      </c>
      <c r="E201" s="8" t="s">
        <v>35</v>
      </c>
      <c r="F201" s="8" t="s">
        <v>36</v>
      </c>
      <c r="G201" s="8" t="s">
        <v>57</v>
      </c>
      <c r="H201" s="8" t="s">
        <v>200</v>
      </c>
      <c r="I201" s="8" t="s">
        <v>201</v>
      </c>
      <c r="J201" s="11">
        <v>2</v>
      </c>
      <c r="K201" s="12">
        <v>1150</v>
      </c>
      <c r="L201" s="12">
        <f t="shared" si="9"/>
        <v>2300</v>
      </c>
      <c r="M201" s="13">
        <v>0</v>
      </c>
      <c r="N201" s="12">
        <f t="shared" si="10"/>
        <v>0</v>
      </c>
      <c r="O201" s="12">
        <f t="shared" si="11"/>
        <v>2300</v>
      </c>
    </row>
    <row r="202" spans="1:15">
      <c r="A202" s="2" t="s">
        <v>386</v>
      </c>
      <c r="B202" s="3">
        <v>45515</v>
      </c>
      <c r="C202" s="4">
        <v>2024</v>
      </c>
      <c r="D202" s="2" t="s">
        <v>52</v>
      </c>
      <c r="E202" s="2" t="s">
        <v>24</v>
      </c>
      <c r="F202" s="2" t="s">
        <v>25</v>
      </c>
      <c r="G202" s="2" t="s">
        <v>53</v>
      </c>
      <c r="H202" s="2" t="s">
        <v>193</v>
      </c>
      <c r="I202" s="2" t="s">
        <v>194</v>
      </c>
      <c r="J202" s="5">
        <v>1</v>
      </c>
      <c r="K202" s="6">
        <v>2300</v>
      </c>
      <c r="L202" s="6">
        <f t="shared" si="9"/>
        <v>2300</v>
      </c>
      <c r="M202" s="7">
        <v>0</v>
      </c>
      <c r="N202" s="6">
        <f t="shared" si="10"/>
        <v>0</v>
      </c>
      <c r="O202" s="6">
        <f t="shared" si="11"/>
        <v>2300</v>
      </c>
    </row>
    <row r="203" spans="1:15">
      <c r="A203" s="8" t="s">
        <v>387</v>
      </c>
      <c r="B203" s="9">
        <v>45939</v>
      </c>
      <c r="C203" s="10">
        <v>2025</v>
      </c>
      <c r="D203" s="8" t="s">
        <v>72</v>
      </c>
      <c r="E203" s="8" t="s">
        <v>42</v>
      </c>
      <c r="F203" s="8" t="s">
        <v>43</v>
      </c>
      <c r="G203" s="8" t="s">
        <v>31</v>
      </c>
      <c r="H203" s="8" t="s">
        <v>124</v>
      </c>
      <c r="I203" s="8" t="s">
        <v>264</v>
      </c>
      <c r="J203" s="11">
        <v>2</v>
      </c>
      <c r="K203" s="12">
        <v>100</v>
      </c>
      <c r="L203" s="12">
        <f t="shared" si="9"/>
        <v>200</v>
      </c>
      <c r="M203" s="13">
        <v>0</v>
      </c>
      <c r="N203" s="12">
        <f t="shared" si="10"/>
        <v>0</v>
      </c>
      <c r="O203" s="12">
        <f t="shared" si="11"/>
        <v>200</v>
      </c>
    </row>
    <row r="204" spans="1:15">
      <c r="A204" s="2" t="s">
        <v>388</v>
      </c>
      <c r="B204" s="3">
        <v>45119</v>
      </c>
      <c r="C204" s="4">
        <v>2023</v>
      </c>
      <c r="D204" s="2" t="s">
        <v>68</v>
      </c>
      <c r="E204" s="2" t="s">
        <v>24</v>
      </c>
      <c r="F204" s="2" t="s">
        <v>25</v>
      </c>
      <c r="G204" s="2" t="s">
        <v>64</v>
      </c>
      <c r="H204" s="2" t="s">
        <v>127</v>
      </c>
      <c r="I204" s="2" t="s">
        <v>255</v>
      </c>
      <c r="J204" s="5">
        <v>1</v>
      </c>
      <c r="K204" s="6">
        <v>2800</v>
      </c>
      <c r="L204" s="6">
        <f t="shared" si="9"/>
        <v>2800</v>
      </c>
      <c r="M204" s="7">
        <v>0</v>
      </c>
      <c r="N204" s="6">
        <f t="shared" si="10"/>
        <v>0</v>
      </c>
      <c r="O204" s="6">
        <f t="shared" si="11"/>
        <v>2800</v>
      </c>
    </row>
    <row r="205" spans="1:15">
      <c r="A205" s="8" t="s">
        <v>389</v>
      </c>
      <c r="B205" s="9">
        <v>45154</v>
      </c>
      <c r="C205" s="10">
        <v>2023</v>
      </c>
      <c r="D205" s="8" t="s">
        <v>52</v>
      </c>
      <c r="E205" s="8" t="s">
        <v>42</v>
      </c>
      <c r="F205" s="8" t="s">
        <v>43</v>
      </c>
      <c r="G205" s="8" t="s">
        <v>31</v>
      </c>
      <c r="H205" s="8" t="s">
        <v>81</v>
      </c>
      <c r="I205" s="8" t="s">
        <v>181</v>
      </c>
      <c r="J205" s="11">
        <v>2</v>
      </c>
      <c r="K205" s="12">
        <v>250</v>
      </c>
      <c r="L205" s="12">
        <f t="shared" si="9"/>
        <v>500</v>
      </c>
      <c r="M205" s="13">
        <v>0</v>
      </c>
      <c r="N205" s="12">
        <f t="shared" si="10"/>
        <v>0</v>
      </c>
      <c r="O205" s="12">
        <f t="shared" si="11"/>
        <v>500</v>
      </c>
    </row>
    <row r="206" spans="1:15">
      <c r="A206" s="2" t="s">
        <v>390</v>
      </c>
      <c r="B206" s="3">
        <v>45750</v>
      </c>
      <c r="C206" s="4">
        <v>2025</v>
      </c>
      <c r="D206" s="2" t="s">
        <v>30</v>
      </c>
      <c r="E206" s="2" t="s">
        <v>24</v>
      </c>
      <c r="F206" s="2" t="s">
        <v>25</v>
      </c>
      <c r="G206" s="2" t="s">
        <v>64</v>
      </c>
      <c r="H206" s="2" t="s">
        <v>97</v>
      </c>
      <c r="I206" s="2" t="s">
        <v>300</v>
      </c>
      <c r="J206" s="5">
        <v>1</v>
      </c>
      <c r="K206" s="6">
        <v>4000</v>
      </c>
      <c r="L206" s="6">
        <f t="shared" si="9"/>
        <v>4000</v>
      </c>
      <c r="M206" s="7">
        <v>0.28499999999999998</v>
      </c>
      <c r="N206" s="6">
        <f t="shared" si="10"/>
        <v>1140</v>
      </c>
      <c r="O206" s="6">
        <f t="shared" si="11"/>
        <v>2860</v>
      </c>
    </row>
    <row r="207" spans="1:15">
      <c r="A207" s="8" t="s">
        <v>391</v>
      </c>
      <c r="B207" s="9">
        <v>45994</v>
      </c>
      <c r="C207" s="10">
        <v>2025</v>
      </c>
      <c r="D207" s="8" t="s">
        <v>16</v>
      </c>
      <c r="E207" s="8" t="s">
        <v>35</v>
      </c>
      <c r="F207" s="8" t="s">
        <v>36</v>
      </c>
      <c r="G207" s="8" t="s">
        <v>19</v>
      </c>
      <c r="H207" s="8" t="s">
        <v>141</v>
      </c>
      <c r="I207" s="8" t="s">
        <v>392</v>
      </c>
      <c r="J207" s="11">
        <v>1</v>
      </c>
      <c r="K207" s="12">
        <v>1050</v>
      </c>
      <c r="L207" s="12">
        <f t="shared" si="9"/>
        <v>1050</v>
      </c>
      <c r="M207" s="13">
        <v>1.4999999999999999E-2</v>
      </c>
      <c r="N207" s="12">
        <f t="shared" si="10"/>
        <v>15.75</v>
      </c>
      <c r="O207" s="12">
        <f t="shared" si="11"/>
        <v>1034.25</v>
      </c>
    </row>
    <row r="208" spans="1:15">
      <c r="A208" s="2" t="s">
        <v>393</v>
      </c>
      <c r="B208" s="3">
        <v>45418</v>
      </c>
      <c r="C208" s="4">
        <v>2024</v>
      </c>
      <c r="D208" s="2" t="s">
        <v>48</v>
      </c>
      <c r="E208" s="2" t="s">
        <v>42</v>
      </c>
      <c r="F208" s="2" t="s">
        <v>43</v>
      </c>
      <c r="G208" s="2" t="s">
        <v>64</v>
      </c>
      <c r="H208" s="2" t="s">
        <v>97</v>
      </c>
      <c r="I208" s="2" t="s">
        <v>98</v>
      </c>
      <c r="J208" s="5">
        <v>1</v>
      </c>
      <c r="K208" s="6">
        <v>2300</v>
      </c>
      <c r="L208" s="6">
        <f t="shared" si="9"/>
        <v>2300</v>
      </c>
      <c r="M208" s="7">
        <v>0.127</v>
      </c>
      <c r="N208" s="6">
        <f t="shared" si="10"/>
        <v>292.10000000000002</v>
      </c>
      <c r="O208" s="6">
        <f t="shared" si="11"/>
        <v>2007.9</v>
      </c>
    </row>
    <row r="209" spans="1:15">
      <c r="A209" s="8" t="s">
        <v>394</v>
      </c>
      <c r="B209" s="9">
        <v>44960</v>
      </c>
      <c r="C209" s="10">
        <v>2023</v>
      </c>
      <c r="D209" s="8" t="s">
        <v>23</v>
      </c>
      <c r="E209" s="8" t="s">
        <v>17</v>
      </c>
      <c r="F209" s="8" t="s">
        <v>18</v>
      </c>
      <c r="G209" s="8" t="s">
        <v>64</v>
      </c>
      <c r="H209" s="8" t="s">
        <v>127</v>
      </c>
      <c r="I209" s="8" t="s">
        <v>317</v>
      </c>
      <c r="J209" s="11">
        <v>1</v>
      </c>
      <c r="K209" s="12">
        <v>1300</v>
      </c>
      <c r="L209" s="12">
        <f t="shared" si="9"/>
        <v>1300</v>
      </c>
      <c r="M209" s="13">
        <v>0</v>
      </c>
      <c r="N209" s="12">
        <f t="shared" si="10"/>
        <v>0</v>
      </c>
      <c r="O209" s="12">
        <f t="shared" si="11"/>
        <v>1300</v>
      </c>
    </row>
    <row r="210" spans="1:15">
      <c r="A210" s="2" t="s">
        <v>395</v>
      </c>
      <c r="B210" s="3">
        <v>45672</v>
      </c>
      <c r="C210" s="4">
        <v>2025</v>
      </c>
      <c r="D210" s="2" t="s">
        <v>169</v>
      </c>
      <c r="E210" s="2" t="s">
        <v>42</v>
      </c>
      <c r="F210" s="2" t="s">
        <v>43</v>
      </c>
      <c r="G210" s="2" t="s">
        <v>26</v>
      </c>
      <c r="H210" s="2" t="s">
        <v>113</v>
      </c>
      <c r="I210" s="2" t="s">
        <v>332</v>
      </c>
      <c r="J210" s="5">
        <v>1</v>
      </c>
      <c r="K210" s="6">
        <v>4650</v>
      </c>
      <c r="L210" s="6">
        <f t="shared" si="9"/>
        <v>4650</v>
      </c>
      <c r="M210" s="7">
        <v>7.6999999999999999E-2</v>
      </c>
      <c r="N210" s="6">
        <f t="shared" si="10"/>
        <v>358.05</v>
      </c>
      <c r="O210" s="6">
        <f t="shared" si="11"/>
        <v>4291.95</v>
      </c>
    </row>
    <row r="211" spans="1:15">
      <c r="A211" s="8" t="s">
        <v>396</v>
      </c>
      <c r="B211" s="9">
        <v>45247</v>
      </c>
      <c r="C211" s="10">
        <v>2023</v>
      </c>
      <c r="D211" s="8" t="s">
        <v>41</v>
      </c>
      <c r="E211" s="8" t="s">
        <v>35</v>
      </c>
      <c r="F211" s="8" t="s">
        <v>36</v>
      </c>
      <c r="G211" s="8" t="s">
        <v>37</v>
      </c>
      <c r="H211" s="8" t="s">
        <v>91</v>
      </c>
      <c r="I211" s="8" t="s">
        <v>153</v>
      </c>
      <c r="J211" s="11">
        <v>1</v>
      </c>
      <c r="K211" s="12">
        <v>190</v>
      </c>
      <c r="L211" s="12">
        <f t="shared" si="9"/>
        <v>190</v>
      </c>
      <c r="M211" s="13">
        <v>0</v>
      </c>
      <c r="N211" s="12">
        <f t="shared" si="10"/>
        <v>0</v>
      </c>
      <c r="O211" s="12">
        <f t="shared" si="11"/>
        <v>190</v>
      </c>
    </row>
    <row r="212" spans="1:15">
      <c r="A212" s="2" t="s">
        <v>397</v>
      </c>
      <c r="B212" s="3">
        <v>45418</v>
      </c>
      <c r="C212" s="4">
        <v>2024</v>
      </c>
      <c r="D212" s="2" t="s">
        <v>48</v>
      </c>
      <c r="E212" s="2" t="s">
        <v>17</v>
      </c>
      <c r="F212" s="2" t="s">
        <v>18</v>
      </c>
      <c r="G212" s="2" t="s">
        <v>64</v>
      </c>
      <c r="H212" s="2" t="s">
        <v>65</v>
      </c>
      <c r="I212" s="2" t="s">
        <v>66</v>
      </c>
      <c r="J212" s="5">
        <v>1</v>
      </c>
      <c r="K212" s="6">
        <v>4350</v>
      </c>
      <c r="L212" s="6">
        <f t="shared" si="9"/>
        <v>4350</v>
      </c>
      <c r="M212" s="7">
        <v>0.24099999999999999</v>
      </c>
      <c r="N212" s="6">
        <f t="shared" si="10"/>
        <v>1048.3499999999999</v>
      </c>
      <c r="O212" s="6">
        <f t="shared" si="11"/>
        <v>3301.65</v>
      </c>
    </row>
    <row r="213" spans="1:15">
      <c r="A213" s="8" t="s">
        <v>398</v>
      </c>
      <c r="B213" s="9">
        <v>45789</v>
      </c>
      <c r="C213" s="10">
        <v>2025</v>
      </c>
      <c r="D213" s="8" t="s">
        <v>48</v>
      </c>
      <c r="E213" s="8" t="s">
        <v>24</v>
      </c>
      <c r="F213" s="8" t="s">
        <v>25</v>
      </c>
      <c r="G213" s="8" t="s">
        <v>26</v>
      </c>
      <c r="H213" s="8" t="s">
        <v>101</v>
      </c>
      <c r="I213" s="8" t="s">
        <v>399</v>
      </c>
      <c r="J213" s="11">
        <v>2</v>
      </c>
      <c r="K213" s="12">
        <v>83500</v>
      </c>
      <c r="L213" s="12">
        <f t="shared" si="9"/>
        <v>167000</v>
      </c>
      <c r="M213" s="13">
        <v>0</v>
      </c>
      <c r="N213" s="12">
        <f t="shared" si="10"/>
        <v>0</v>
      </c>
      <c r="O213" s="12">
        <f t="shared" si="11"/>
        <v>167000</v>
      </c>
    </row>
    <row r="214" spans="1:15">
      <c r="A214" s="2" t="s">
        <v>400</v>
      </c>
      <c r="B214" s="3">
        <v>45577</v>
      </c>
      <c r="C214" s="4">
        <v>2024</v>
      </c>
      <c r="D214" s="2" t="s">
        <v>72</v>
      </c>
      <c r="E214" s="2" t="s">
        <v>24</v>
      </c>
      <c r="F214" s="2" t="s">
        <v>25</v>
      </c>
      <c r="G214" s="2" t="s">
        <v>31</v>
      </c>
      <c r="H214" s="2" t="s">
        <v>84</v>
      </c>
      <c r="I214" s="2" t="s">
        <v>356</v>
      </c>
      <c r="J214" s="5">
        <v>8</v>
      </c>
      <c r="K214" s="6">
        <v>650</v>
      </c>
      <c r="L214" s="6">
        <f t="shared" si="9"/>
        <v>5200</v>
      </c>
      <c r="M214" s="7">
        <v>0</v>
      </c>
      <c r="N214" s="6">
        <f t="shared" si="10"/>
        <v>0</v>
      </c>
      <c r="O214" s="6">
        <f t="shared" si="11"/>
        <v>5200</v>
      </c>
    </row>
    <row r="215" spans="1:15">
      <c r="A215" s="8" t="s">
        <v>401</v>
      </c>
      <c r="B215" s="9">
        <v>45592</v>
      </c>
      <c r="C215" s="10">
        <v>2024</v>
      </c>
      <c r="D215" s="8" t="s">
        <v>72</v>
      </c>
      <c r="E215" s="8" t="s">
        <v>35</v>
      </c>
      <c r="F215" s="8" t="s">
        <v>36</v>
      </c>
      <c r="G215" s="8" t="s">
        <v>64</v>
      </c>
      <c r="H215" s="8" t="s">
        <v>127</v>
      </c>
      <c r="I215" s="8" t="s">
        <v>128</v>
      </c>
      <c r="J215" s="11">
        <v>3</v>
      </c>
      <c r="K215" s="12">
        <v>2800</v>
      </c>
      <c r="L215" s="12">
        <f t="shared" si="9"/>
        <v>8400</v>
      </c>
      <c r="M215" s="13">
        <v>0</v>
      </c>
      <c r="N215" s="12">
        <f t="shared" si="10"/>
        <v>0</v>
      </c>
      <c r="O215" s="12">
        <f t="shared" si="11"/>
        <v>8400</v>
      </c>
    </row>
    <row r="216" spans="1:15">
      <c r="A216" s="2" t="s">
        <v>402</v>
      </c>
      <c r="B216" s="3">
        <v>45676</v>
      </c>
      <c r="C216" s="4">
        <v>2025</v>
      </c>
      <c r="D216" s="2" t="s">
        <v>169</v>
      </c>
      <c r="E216" s="2" t="s">
        <v>17</v>
      </c>
      <c r="F216" s="2" t="s">
        <v>18</v>
      </c>
      <c r="G216" s="2" t="s">
        <v>37</v>
      </c>
      <c r="H216" s="2" t="s">
        <v>38</v>
      </c>
      <c r="I216" s="2" t="s">
        <v>403</v>
      </c>
      <c r="J216" s="5">
        <v>2</v>
      </c>
      <c r="K216" s="6">
        <v>3650</v>
      </c>
      <c r="L216" s="6">
        <f t="shared" si="9"/>
        <v>7300</v>
      </c>
      <c r="M216" s="7">
        <v>0</v>
      </c>
      <c r="N216" s="6">
        <f t="shared" si="10"/>
        <v>0</v>
      </c>
      <c r="O216" s="6">
        <f t="shared" si="11"/>
        <v>7300</v>
      </c>
    </row>
    <row r="217" spans="1:15">
      <c r="A217" s="8" t="s">
        <v>404</v>
      </c>
      <c r="B217" s="9">
        <v>44976</v>
      </c>
      <c r="C217" s="10">
        <v>2023</v>
      </c>
      <c r="D217" s="8" t="s">
        <v>23</v>
      </c>
      <c r="E217" s="8" t="s">
        <v>35</v>
      </c>
      <c r="F217" s="8" t="s">
        <v>36</v>
      </c>
      <c r="G217" s="8" t="s">
        <v>26</v>
      </c>
      <c r="H217" s="8" t="s">
        <v>27</v>
      </c>
      <c r="I217" s="8" t="s">
        <v>28</v>
      </c>
      <c r="J217" s="11">
        <v>1</v>
      </c>
      <c r="K217" s="12">
        <v>24500</v>
      </c>
      <c r="L217" s="12">
        <f t="shared" si="9"/>
        <v>24500</v>
      </c>
      <c r="M217" s="13">
        <v>0</v>
      </c>
      <c r="N217" s="12">
        <f t="shared" si="10"/>
        <v>0</v>
      </c>
      <c r="O217" s="12">
        <f t="shared" si="11"/>
        <v>24500</v>
      </c>
    </row>
    <row r="218" spans="1:15">
      <c r="A218" s="2" t="s">
        <v>405</v>
      </c>
      <c r="B218" s="3">
        <v>45716</v>
      </c>
      <c r="C218" s="4">
        <v>2025</v>
      </c>
      <c r="D218" s="2" t="s">
        <v>23</v>
      </c>
      <c r="E218" s="2" t="s">
        <v>42</v>
      </c>
      <c r="F218" s="2" t="s">
        <v>43</v>
      </c>
      <c r="G218" s="2" t="s">
        <v>53</v>
      </c>
      <c r="H218" s="2" t="s">
        <v>54</v>
      </c>
      <c r="I218" s="2" t="s">
        <v>55</v>
      </c>
      <c r="J218" s="5">
        <v>2</v>
      </c>
      <c r="K218" s="6">
        <v>900</v>
      </c>
      <c r="L218" s="6">
        <f t="shared" si="9"/>
        <v>1800</v>
      </c>
      <c r="M218" s="7">
        <v>0</v>
      </c>
      <c r="N218" s="6">
        <f t="shared" si="10"/>
        <v>0</v>
      </c>
      <c r="O218" s="6">
        <f t="shared" si="11"/>
        <v>1800</v>
      </c>
    </row>
    <row r="219" spans="1:15">
      <c r="A219" s="8" t="s">
        <v>406</v>
      </c>
      <c r="B219" s="9">
        <v>45306</v>
      </c>
      <c r="C219" s="10">
        <v>2024</v>
      </c>
      <c r="D219" s="8" t="s">
        <v>169</v>
      </c>
      <c r="E219" s="8" t="s">
        <v>24</v>
      </c>
      <c r="F219" s="8" t="s">
        <v>25</v>
      </c>
      <c r="G219" s="8" t="s">
        <v>19</v>
      </c>
      <c r="H219" s="8" t="s">
        <v>69</v>
      </c>
      <c r="I219" s="8" t="s">
        <v>407</v>
      </c>
      <c r="J219" s="11">
        <v>1</v>
      </c>
      <c r="K219" s="12">
        <v>1000</v>
      </c>
      <c r="L219" s="12">
        <f t="shared" si="9"/>
        <v>1000</v>
      </c>
      <c r="M219" s="13">
        <v>5.3999999999999999E-2</v>
      </c>
      <c r="N219" s="12">
        <f t="shared" si="10"/>
        <v>54</v>
      </c>
      <c r="O219" s="12">
        <f t="shared" si="11"/>
        <v>946</v>
      </c>
    </row>
    <row r="220" spans="1:15">
      <c r="A220" s="2" t="s">
        <v>408</v>
      </c>
      <c r="B220" s="3">
        <v>45330</v>
      </c>
      <c r="C220" s="4">
        <v>2024</v>
      </c>
      <c r="D220" s="2" t="s">
        <v>23</v>
      </c>
      <c r="E220" s="2" t="s">
        <v>17</v>
      </c>
      <c r="F220" s="2" t="s">
        <v>18</v>
      </c>
      <c r="G220" s="2" t="s">
        <v>19</v>
      </c>
      <c r="H220" s="2" t="s">
        <v>69</v>
      </c>
      <c r="I220" s="2" t="s">
        <v>407</v>
      </c>
      <c r="J220" s="5">
        <v>1</v>
      </c>
      <c r="K220" s="6">
        <v>2000</v>
      </c>
      <c r="L220" s="6">
        <f t="shared" si="9"/>
        <v>2000</v>
      </c>
      <c r="M220" s="7">
        <v>0</v>
      </c>
      <c r="N220" s="6">
        <f t="shared" si="10"/>
        <v>0</v>
      </c>
      <c r="O220" s="6">
        <f t="shared" si="11"/>
        <v>2000</v>
      </c>
    </row>
    <row r="221" spans="1:15">
      <c r="A221" s="8" t="s">
        <v>409</v>
      </c>
      <c r="B221" s="9">
        <v>45206</v>
      </c>
      <c r="C221" s="10">
        <v>2023</v>
      </c>
      <c r="D221" s="8" t="s">
        <v>72</v>
      </c>
      <c r="E221" s="8" t="s">
        <v>24</v>
      </c>
      <c r="F221" s="8" t="s">
        <v>25</v>
      </c>
      <c r="G221" s="8" t="s">
        <v>26</v>
      </c>
      <c r="H221" s="8" t="s">
        <v>27</v>
      </c>
      <c r="I221" s="8" t="s">
        <v>28</v>
      </c>
      <c r="J221" s="11">
        <v>2</v>
      </c>
      <c r="K221" s="12">
        <v>6000</v>
      </c>
      <c r="L221" s="12">
        <f t="shared" si="9"/>
        <v>12000</v>
      </c>
      <c r="M221" s="13">
        <v>9.8000000000000004E-2</v>
      </c>
      <c r="N221" s="12">
        <f t="shared" si="10"/>
        <v>1176</v>
      </c>
      <c r="O221" s="12">
        <f t="shared" si="11"/>
        <v>10824</v>
      </c>
    </row>
    <row r="222" spans="1:15">
      <c r="A222" s="2" t="s">
        <v>410</v>
      </c>
      <c r="B222" s="3">
        <v>45097</v>
      </c>
      <c r="C222" s="4">
        <v>2023</v>
      </c>
      <c r="D222" s="2" t="s">
        <v>100</v>
      </c>
      <c r="E222" s="2" t="s">
        <v>35</v>
      </c>
      <c r="F222" s="2" t="s">
        <v>36</v>
      </c>
      <c r="G222" s="2" t="s">
        <v>53</v>
      </c>
      <c r="H222" s="2" t="s">
        <v>136</v>
      </c>
      <c r="I222" s="2" t="s">
        <v>322</v>
      </c>
      <c r="J222" s="5">
        <v>1</v>
      </c>
      <c r="K222" s="6">
        <v>2600</v>
      </c>
      <c r="L222" s="6">
        <f t="shared" si="9"/>
        <v>2600</v>
      </c>
      <c r="M222" s="7">
        <v>0.01</v>
      </c>
      <c r="N222" s="6">
        <f t="shared" si="10"/>
        <v>26</v>
      </c>
      <c r="O222" s="6">
        <f t="shared" si="11"/>
        <v>2574</v>
      </c>
    </row>
    <row r="223" spans="1:15">
      <c r="A223" s="8" t="s">
        <v>411</v>
      </c>
      <c r="B223" s="9">
        <v>45217</v>
      </c>
      <c r="C223" s="10">
        <v>2023</v>
      </c>
      <c r="D223" s="8" t="s">
        <v>72</v>
      </c>
      <c r="E223" s="8" t="s">
        <v>35</v>
      </c>
      <c r="F223" s="8" t="s">
        <v>36</v>
      </c>
      <c r="G223" s="8" t="s">
        <v>37</v>
      </c>
      <c r="H223" s="8" t="s">
        <v>38</v>
      </c>
      <c r="I223" s="8" t="s">
        <v>403</v>
      </c>
      <c r="J223" s="11">
        <v>1</v>
      </c>
      <c r="K223" s="12">
        <v>350</v>
      </c>
      <c r="L223" s="12">
        <f t="shared" si="9"/>
        <v>350</v>
      </c>
      <c r="M223" s="13">
        <v>5.1999999999999998E-2</v>
      </c>
      <c r="N223" s="12">
        <f t="shared" si="10"/>
        <v>18.2</v>
      </c>
      <c r="O223" s="12">
        <f t="shared" si="11"/>
        <v>331.8</v>
      </c>
    </row>
    <row r="224" spans="1:15">
      <c r="A224" s="2" t="s">
        <v>412</v>
      </c>
      <c r="B224" s="3">
        <v>45597</v>
      </c>
      <c r="C224" s="4">
        <v>2024</v>
      </c>
      <c r="D224" s="2" t="s">
        <v>41</v>
      </c>
      <c r="E224" s="2" t="s">
        <v>17</v>
      </c>
      <c r="F224" s="2" t="s">
        <v>18</v>
      </c>
      <c r="G224" s="2" t="s">
        <v>26</v>
      </c>
      <c r="H224" s="2" t="s">
        <v>113</v>
      </c>
      <c r="I224" s="2" t="s">
        <v>114</v>
      </c>
      <c r="J224" s="5">
        <v>1</v>
      </c>
      <c r="K224" s="6">
        <v>27500</v>
      </c>
      <c r="L224" s="6">
        <f t="shared" si="9"/>
        <v>27500</v>
      </c>
      <c r="M224" s="7">
        <v>0</v>
      </c>
      <c r="N224" s="6">
        <f t="shared" si="10"/>
        <v>0</v>
      </c>
      <c r="O224" s="6">
        <f t="shared" si="11"/>
        <v>27500</v>
      </c>
    </row>
    <row r="225" spans="1:15">
      <c r="A225" s="8" t="s">
        <v>413</v>
      </c>
      <c r="B225" s="9">
        <v>45788</v>
      </c>
      <c r="C225" s="10">
        <v>2025</v>
      </c>
      <c r="D225" s="8" t="s">
        <v>48</v>
      </c>
      <c r="E225" s="8" t="s">
        <v>42</v>
      </c>
      <c r="F225" s="8" t="s">
        <v>43</v>
      </c>
      <c r="G225" s="8" t="s">
        <v>31</v>
      </c>
      <c r="H225" s="8" t="s">
        <v>32</v>
      </c>
      <c r="I225" s="8" t="s">
        <v>198</v>
      </c>
      <c r="J225" s="11">
        <v>3</v>
      </c>
      <c r="K225" s="12">
        <v>400</v>
      </c>
      <c r="L225" s="12">
        <f t="shared" si="9"/>
        <v>1200</v>
      </c>
      <c r="M225" s="13">
        <v>1.0999999999999999E-2</v>
      </c>
      <c r="N225" s="12">
        <f t="shared" si="10"/>
        <v>13.2</v>
      </c>
      <c r="O225" s="12">
        <f t="shared" si="11"/>
        <v>1186.8</v>
      </c>
    </row>
    <row r="226" spans="1:15">
      <c r="A226" s="2" t="s">
        <v>414</v>
      </c>
      <c r="B226" s="3">
        <v>45797</v>
      </c>
      <c r="C226" s="4">
        <v>2025</v>
      </c>
      <c r="D226" s="2" t="s">
        <v>48</v>
      </c>
      <c r="E226" s="2" t="s">
        <v>17</v>
      </c>
      <c r="F226" s="2" t="s">
        <v>18</v>
      </c>
      <c r="G226" s="2" t="s">
        <v>53</v>
      </c>
      <c r="H226" s="2" t="s">
        <v>136</v>
      </c>
      <c r="I226" s="2" t="s">
        <v>245</v>
      </c>
      <c r="J226" s="5">
        <v>1</v>
      </c>
      <c r="K226" s="6">
        <v>3900</v>
      </c>
      <c r="L226" s="6">
        <f t="shared" si="9"/>
        <v>3900</v>
      </c>
      <c r="M226" s="7">
        <v>0</v>
      </c>
      <c r="N226" s="6">
        <f t="shared" si="10"/>
        <v>0</v>
      </c>
      <c r="O226" s="6">
        <f t="shared" si="11"/>
        <v>3900</v>
      </c>
    </row>
    <row r="227" spans="1:15">
      <c r="A227" s="8" t="s">
        <v>415</v>
      </c>
      <c r="B227" s="9">
        <v>45179</v>
      </c>
      <c r="C227" s="10">
        <v>2023</v>
      </c>
      <c r="D227" s="8" t="s">
        <v>123</v>
      </c>
      <c r="E227" s="8" t="s">
        <v>17</v>
      </c>
      <c r="F227" s="8" t="s">
        <v>18</v>
      </c>
      <c r="G227" s="8" t="s">
        <v>44</v>
      </c>
      <c r="H227" s="8" t="s">
        <v>45</v>
      </c>
      <c r="I227" s="8" t="s">
        <v>46</v>
      </c>
      <c r="J227" s="11">
        <v>6</v>
      </c>
      <c r="K227" s="12">
        <v>800</v>
      </c>
      <c r="L227" s="12">
        <f t="shared" si="9"/>
        <v>4800</v>
      </c>
      <c r="M227" s="13">
        <v>0</v>
      </c>
      <c r="N227" s="12">
        <f t="shared" si="10"/>
        <v>0</v>
      </c>
      <c r="O227" s="12">
        <f t="shared" si="11"/>
        <v>4800</v>
      </c>
    </row>
    <row r="228" spans="1:15">
      <c r="A228" s="2" t="s">
        <v>416</v>
      </c>
      <c r="B228" s="3">
        <v>45317</v>
      </c>
      <c r="C228" s="4">
        <v>2024</v>
      </c>
      <c r="D228" s="2" t="s">
        <v>169</v>
      </c>
      <c r="E228" s="2" t="s">
        <v>24</v>
      </c>
      <c r="F228" s="2" t="s">
        <v>25</v>
      </c>
      <c r="G228" s="2" t="s">
        <v>44</v>
      </c>
      <c r="H228" s="2" t="s">
        <v>61</v>
      </c>
      <c r="I228" s="2" t="s">
        <v>348</v>
      </c>
      <c r="J228" s="5">
        <v>12</v>
      </c>
      <c r="K228" s="6">
        <v>950</v>
      </c>
      <c r="L228" s="6">
        <f t="shared" si="9"/>
        <v>11400</v>
      </c>
      <c r="M228" s="7">
        <v>0</v>
      </c>
      <c r="N228" s="6">
        <f t="shared" si="10"/>
        <v>0</v>
      </c>
      <c r="O228" s="6">
        <f t="shared" si="11"/>
        <v>11400</v>
      </c>
    </row>
    <row r="229" spans="1:15">
      <c r="A229" s="8" t="s">
        <v>417</v>
      </c>
      <c r="B229" s="9">
        <v>45881</v>
      </c>
      <c r="C229" s="10">
        <v>2025</v>
      </c>
      <c r="D229" s="8" t="s">
        <v>52</v>
      </c>
      <c r="E229" s="8" t="s">
        <v>24</v>
      </c>
      <c r="F229" s="8" t="s">
        <v>25</v>
      </c>
      <c r="G229" s="8" t="s">
        <v>53</v>
      </c>
      <c r="H229" s="8" t="s">
        <v>193</v>
      </c>
      <c r="I229" s="8" t="s">
        <v>208</v>
      </c>
      <c r="J229" s="11">
        <v>1</v>
      </c>
      <c r="K229" s="12">
        <v>3500</v>
      </c>
      <c r="L229" s="12">
        <f t="shared" si="9"/>
        <v>3500</v>
      </c>
      <c r="M229" s="13">
        <v>0</v>
      </c>
      <c r="N229" s="12">
        <f t="shared" si="10"/>
        <v>0</v>
      </c>
      <c r="O229" s="12">
        <f t="shared" si="11"/>
        <v>3500</v>
      </c>
    </row>
    <row r="230" spans="1:15">
      <c r="A230" s="2" t="s">
        <v>418</v>
      </c>
      <c r="B230" s="3">
        <v>45868</v>
      </c>
      <c r="C230" s="4">
        <v>2025</v>
      </c>
      <c r="D230" s="2" t="s">
        <v>68</v>
      </c>
      <c r="E230" s="2" t="s">
        <v>42</v>
      </c>
      <c r="F230" s="2" t="s">
        <v>43</v>
      </c>
      <c r="G230" s="2" t="s">
        <v>19</v>
      </c>
      <c r="H230" s="2" t="s">
        <v>141</v>
      </c>
      <c r="I230" s="2" t="s">
        <v>278</v>
      </c>
      <c r="J230" s="5">
        <v>4</v>
      </c>
      <c r="K230" s="6">
        <v>750</v>
      </c>
      <c r="L230" s="6">
        <f t="shared" si="9"/>
        <v>3000</v>
      </c>
      <c r="M230" s="7">
        <v>0</v>
      </c>
      <c r="N230" s="6">
        <f t="shared" si="10"/>
        <v>0</v>
      </c>
      <c r="O230" s="6">
        <f t="shared" si="11"/>
        <v>3000</v>
      </c>
    </row>
    <row r="231" spans="1:15">
      <c r="A231" s="8" t="s">
        <v>419</v>
      </c>
      <c r="B231" s="9">
        <v>45387</v>
      </c>
      <c r="C231" s="10">
        <v>2024</v>
      </c>
      <c r="D231" s="8" t="s">
        <v>30</v>
      </c>
      <c r="E231" s="8" t="s">
        <v>42</v>
      </c>
      <c r="F231" s="8" t="s">
        <v>43</v>
      </c>
      <c r="G231" s="8" t="s">
        <v>64</v>
      </c>
      <c r="H231" s="8" t="s">
        <v>94</v>
      </c>
      <c r="I231" s="8" t="s">
        <v>420</v>
      </c>
      <c r="J231" s="11">
        <v>1</v>
      </c>
      <c r="K231" s="12">
        <v>2500</v>
      </c>
      <c r="L231" s="12">
        <f t="shared" si="9"/>
        <v>2500</v>
      </c>
      <c r="M231" s="13">
        <v>0</v>
      </c>
      <c r="N231" s="12">
        <f t="shared" si="10"/>
        <v>0</v>
      </c>
      <c r="O231" s="12">
        <f t="shared" si="11"/>
        <v>2500</v>
      </c>
    </row>
    <row r="232" spans="1:15">
      <c r="A232" s="2" t="s">
        <v>421</v>
      </c>
      <c r="B232" s="3">
        <v>45667</v>
      </c>
      <c r="C232" s="4">
        <v>2025</v>
      </c>
      <c r="D232" s="2" t="s">
        <v>169</v>
      </c>
      <c r="E232" s="2" t="s">
        <v>42</v>
      </c>
      <c r="F232" s="2" t="s">
        <v>43</v>
      </c>
      <c r="G232" s="2" t="s">
        <v>53</v>
      </c>
      <c r="H232" s="2" t="s">
        <v>136</v>
      </c>
      <c r="I232" s="2" t="s">
        <v>137</v>
      </c>
      <c r="J232" s="5">
        <v>1</v>
      </c>
      <c r="K232" s="6">
        <v>950</v>
      </c>
      <c r="L232" s="6">
        <f t="shared" si="9"/>
        <v>950</v>
      </c>
      <c r="M232" s="7">
        <v>0</v>
      </c>
      <c r="N232" s="6">
        <f t="shared" si="10"/>
        <v>0</v>
      </c>
      <c r="O232" s="6">
        <f t="shared" si="11"/>
        <v>950</v>
      </c>
    </row>
    <row r="233" spans="1:15">
      <c r="A233" s="8" t="s">
        <v>422</v>
      </c>
      <c r="B233" s="9">
        <v>45947</v>
      </c>
      <c r="C233" s="10">
        <v>2025</v>
      </c>
      <c r="D233" s="8" t="s">
        <v>72</v>
      </c>
      <c r="E233" s="8" t="s">
        <v>35</v>
      </c>
      <c r="F233" s="8" t="s">
        <v>36</v>
      </c>
      <c r="G233" s="8" t="s">
        <v>44</v>
      </c>
      <c r="H233" s="8" t="s">
        <v>176</v>
      </c>
      <c r="I233" s="8" t="s">
        <v>177</v>
      </c>
      <c r="J233" s="11">
        <v>1</v>
      </c>
      <c r="K233" s="12">
        <v>1300</v>
      </c>
      <c r="L233" s="12">
        <f t="shared" si="9"/>
        <v>1300</v>
      </c>
      <c r="M233" s="13">
        <v>0</v>
      </c>
      <c r="N233" s="12">
        <f t="shared" si="10"/>
        <v>0</v>
      </c>
      <c r="O233" s="12">
        <f t="shared" si="11"/>
        <v>1300</v>
      </c>
    </row>
    <row r="234" spans="1:15">
      <c r="A234" s="2" t="s">
        <v>423</v>
      </c>
      <c r="B234" s="3">
        <v>45626</v>
      </c>
      <c r="C234" s="4">
        <v>2024</v>
      </c>
      <c r="D234" s="2" t="s">
        <v>41</v>
      </c>
      <c r="E234" s="2" t="s">
        <v>35</v>
      </c>
      <c r="F234" s="2" t="s">
        <v>36</v>
      </c>
      <c r="G234" s="2" t="s">
        <v>31</v>
      </c>
      <c r="H234" s="2" t="s">
        <v>81</v>
      </c>
      <c r="I234" s="2" t="s">
        <v>186</v>
      </c>
      <c r="J234" s="5">
        <v>2</v>
      </c>
      <c r="K234" s="6">
        <v>900</v>
      </c>
      <c r="L234" s="6">
        <f t="shared" si="9"/>
        <v>1800</v>
      </c>
      <c r="M234" s="7">
        <v>0</v>
      </c>
      <c r="N234" s="6">
        <f t="shared" si="10"/>
        <v>0</v>
      </c>
      <c r="O234" s="6">
        <f t="shared" si="11"/>
        <v>1800</v>
      </c>
    </row>
    <row r="235" spans="1:15">
      <c r="A235" s="8" t="s">
        <v>424</v>
      </c>
      <c r="B235" s="9">
        <v>45812</v>
      </c>
      <c r="C235" s="10">
        <v>2025</v>
      </c>
      <c r="D235" s="8" t="s">
        <v>100</v>
      </c>
      <c r="E235" s="8" t="s">
        <v>17</v>
      </c>
      <c r="F235" s="8" t="s">
        <v>18</v>
      </c>
      <c r="G235" s="8" t="s">
        <v>57</v>
      </c>
      <c r="H235" s="8" t="s">
        <v>200</v>
      </c>
      <c r="I235" s="8" t="s">
        <v>425</v>
      </c>
      <c r="J235" s="11">
        <v>2</v>
      </c>
      <c r="K235" s="12">
        <v>3000</v>
      </c>
      <c r="L235" s="12">
        <f t="shared" si="9"/>
        <v>6000</v>
      </c>
      <c r="M235" s="13">
        <v>0</v>
      </c>
      <c r="N235" s="12">
        <f t="shared" si="10"/>
        <v>0</v>
      </c>
      <c r="O235" s="12">
        <f t="shared" si="11"/>
        <v>6000</v>
      </c>
    </row>
    <row r="236" spans="1:15">
      <c r="A236" s="2" t="s">
        <v>426</v>
      </c>
      <c r="B236" s="3">
        <v>45005</v>
      </c>
      <c r="C236" s="4">
        <v>2023</v>
      </c>
      <c r="D236" s="2" t="s">
        <v>78</v>
      </c>
      <c r="E236" s="2" t="s">
        <v>17</v>
      </c>
      <c r="F236" s="2" t="s">
        <v>18</v>
      </c>
      <c r="G236" s="2" t="s">
        <v>31</v>
      </c>
      <c r="H236" s="2" t="s">
        <v>32</v>
      </c>
      <c r="I236" s="2" t="s">
        <v>292</v>
      </c>
      <c r="J236" s="5">
        <v>5</v>
      </c>
      <c r="K236" s="6">
        <v>600</v>
      </c>
      <c r="L236" s="6">
        <f t="shared" si="9"/>
        <v>3000</v>
      </c>
      <c r="M236" s="7">
        <v>0</v>
      </c>
      <c r="N236" s="6">
        <f t="shared" si="10"/>
        <v>0</v>
      </c>
      <c r="O236" s="6">
        <f t="shared" si="11"/>
        <v>3000</v>
      </c>
    </row>
    <row r="237" spans="1:15">
      <c r="A237" s="8" t="s">
        <v>427</v>
      </c>
      <c r="B237" s="9">
        <v>45035</v>
      </c>
      <c r="C237" s="10">
        <v>2023</v>
      </c>
      <c r="D237" s="8" t="s">
        <v>30</v>
      </c>
      <c r="E237" s="8" t="s">
        <v>42</v>
      </c>
      <c r="F237" s="8" t="s">
        <v>43</v>
      </c>
      <c r="G237" s="8" t="s">
        <v>26</v>
      </c>
      <c r="H237" s="8" t="s">
        <v>110</v>
      </c>
      <c r="I237" s="8" t="s">
        <v>214</v>
      </c>
      <c r="J237" s="11">
        <v>2</v>
      </c>
      <c r="K237" s="12">
        <v>83500</v>
      </c>
      <c r="L237" s="12">
        <f t="shared" si="9"/>
        <v>167000</v>
      </c>
      <c r="M237" s="13">
        <v>0.14599999999999999</v>
      </c>
      <c r="N237" s="12">
        <f t="shared" si="10"/>
        <v>24382</v>
      </c>
      <c r="O237" s="12">
        <f t="shared" si="11"/>
        <v>142618</v>
      </c>
    </row>
    <row r="238" spans="1:15">
      <c r="A238" s="2" t="s">
        <v>428</v>
      </c>
      <c r="B238" s="3">
        <v>45866</v>
      </c>
      <c r="C238" s="4">
        <v>2025</v>
      </c>
      <c r="D238" s="2" t="s">
        <v>68</v>
      </c>
      <c r="E238" s="2" t="s">
        <v>17</v>
      </c>
      <c r="F238" s="2" t="s">
        <v>18</v>
      </c>
      <c r="G238" s="2" t="s">
        <v>19</v>
      </c>
      <c r="H238" s="2" t="s">
        <v>141</v>
      </c>
      <c r="I238" s="2" t="s">
        <v>142</v>
      </c>
      <c r="J238" s="5">
        <v>1</v>
      </c>
      <c r="K238" s="6">
        <v>2200</v>
      </c>
      <c r="L238" s="6">
        <f t="shared" si="9"/>
        <v>2200</v>
      </c>
      <c r="M238" s="7">
        <v>0</v>
      </c>
      <c r="N238" s="6">
        <f t="shared" si="10"/>
        <v>0</v>
      </c>
      <c r="O238" s="6">
        <f t="shared" si="11"/>
        <v>2200</v>
      </c>
    </row>
    <row r="239" spans="1:15">
      <c r="A239" s="8" t="s">
        <v>429</v>
      </c>
      <c r="B239" s="9">
        <v>44982</v>
      </c>
      <c r="C239" s="10">
        <v>2023</v>
      </c>
      <c r="D239" s="8" t="s">
        <v>23</v>
      </c>
      <c r="E239" s="8" t="s">
        <v>35</v>
      </c>
      <c r="F239" s="8" t="s">
        <v>36</v>
      </c>
      <c r="G239" s="8" t="s">
        <v>37</v>
      </c>
      <c r="H239" s="8" t="s">
        <v>91</v>
      </c>
      <c r="I239" s="8" t="s">
        <v>430</v>
      </c>
      <c r="J239" s="11">
        <v>1</v>
      </c>
      <c r="K239" s="12">
        <v>210</v>
      </c>
      <c r="L239" s="12">
        <f t="shared" si="9"/>
        <v>210</v>
      </c>
      <c r="M239" s="13">
        <v>0</v>
      </c>
      <c r="N239" s="12">
        <f t="shared" si="10"/>
        <v>0</v>
      </c>
      <c r="O239" s="12">
        <f t="shared" si="11"/>
        <v>210</v>
      </c>
    </row>
    <row r="240" spans="1:15">
      <c r="A240" s="2" t="s">
        <v>431</v>
      </c>
      <c r="B240" s="3">
        <v>45777</v>
      </c>
      <c r="C240" s="4">
        <v>2025</v>
      </c>
      <c r="D240" s="2" t="s">
        <v>30</v>
      </c>
      <c r="E240" s="2" t="s">
        <v>42</v>
      </c>
      <c r="F240" s="2" t="s">
        <v>43</v>
      </c>
      <c r="G240" s="2" t="s">
        <v>57</v>
      </c>
      <c r="H240" s="2" t="s">
        <v>75</v>
      </c>
      <c r="I240" s="2" t="s">
        <v>184</v>
      </c>
      <c r="J240" s="5">
        <v>1</v>
      </c>
      <c r="K240" s="6">
        <v>2450</v>
      </c>
      <c r="L240" s="6">
        <f t="shared" si="9"/>
        <v>2450</v>
      </c>
      <c r="M240" s="7">
        <v>0.11</v>
      </c>
      <c r="N240" s="6">
        <f t="shared" si="10"/>
        <v>269.5</v>
      </c>
      <c r="O240" s="6">
        <f t="shared" si="11"/>
        <v>2180.5</v>
      </c>
    </row>
    <row r="241" spans="1:15">
      <c r="A241" s="8" t="s">
        <v>432</v>
      </c>
      <c r="B241" s="9">
        <v>45684</v>
      </c>
      <c r="C241" s="10">
        <v>2025</v>
      </c>
      <c r="D241" s="8" t="s">
        <v>169</v>
      </c>
      <c r="E241" s="8" t="s">
        <v>17</v>
      </c>
      <c r="F241" s="8" t="s">
        <v>18</v>
      </c>
      <c r="G241" s="8" t="s">
        <v>57</v>
      </c>
      <c r="H241" s="8" t="s">
        <v>131</v>
      </c>
      <c r="I241" s="8" t="s">
        <v>132</v>
      </c>
      <c r="J241" s="11">
        <v>1</v>
      </c>
      <c r="K241" s="12">
        <v>2350</v>
      </c>
      <c r="L241" s="12">
        <f t="shared" si="9"/>
        <v>2350</v>
      </c>
      <c r="M241" s="13">
        <v>0</v>
      </c>
      <c r="N241" s="12">
        <f t="shared" si="10"/>
        <v>0</v>
      </c>
      <c r="O241" s="12">
        <f t="shared" si="11"/>
        <v>2350</v>
      </c>
    </row>
    <row r="242" spans="1:15">
      <c r="A242" s="2" t="s">
        <v>433</v>
      </c>
      <c r="B242" s="3">
        <v>45988</v>
      </c>
      <c r="C242" s="4">
        <v>2025</v>
      </c>
      <c r="D242" s="2" t="s">
        <v>41</v>
      </c>
      <c r="E242" s="2" t="s">
        <v>17</v>
      </c>
      <c r="F242" s="2" t="s">
        <v>18</v>
      </c>
      <c r="G242" s="2" t="s">
        <v>26</v>
      </c>
      <c r="H242" s="2" t="s">
        <v>101</v>
      </c>
      <c r="I242" s="2" t="s">
        <v>229</v>
      </c>
      <c r="J242" s="5">
        <v>1</v>
      </c>
      <c r="K242" s="6">
        <v>34500</v>
      </c>
      <c r="L242" s="6">
        <f t="shared" si="9"/>
        <v>34500</v>
      </c>
      <c r="M242" s="7">
        <v>0</v>
      </c>
      <c r="N242" s="6">
        <f t="shared" si="10"/>
        <v>0</v>
      </c>
      <c r="O242" s="6">
        <f t="shared" si="11"/>
        <v>34500</v>
      </c>
    </row>
    <row r="243" spans="1:15">
      <c r="A243" s="8" t="s">
        <v>434</v>
      </c>
      <c r="B243" s="9">
        <v>45807</v>
      </c>
      <c r="C243" s="10">
        <v>2025</v>
      </c>
      <c r="D243" s="8" t="s">
        <v>48</v>
      </c>
      <c r="E243" s="8" t="s">
        <v>17</v>
      </c>
      <c r="F243" s="8" t="s">
        <v>18</v>
      </c>
      <c r="G243" s="8" t="s">
        <v>26</v>
      </c>
      <c r="H243" s="8" t="s">
        <v>113</v>
      </c>
      <c r="I243" s="8" t="s">
        <v>332</v>
      </c>
      <c r="J243" s="11">
        <v>1</v>
      </c>
      <c r="K243" s="12">
        <v>55000</v>
      </c>
      <c r="L243" s="12">
        <f t="shared" si="9"/>
        <v>55000</v>
      </c>
      <c r="M243" s="13">
        <v>0</v>
      </c>
      <c r="N243" s="12">
        <f t="shared" si="10"/>
        <v>0</v>
      </c>
      <c r="O243" s="12">
        <f t="shared" si="11"/>
        <v>55000</v>
      </c>
    </row>
    <row r="244" spans="1:15">
      <c r="A244" s="2" t="s">
        <v>435</v>
      </c>
      <c r="B244" s="3">
        <v>44937</v>
      </c>
      <c r="C244" s="4">
        <v>2023</v>
      </c>
      <c r="D244" s="2" t="s">
        <v>169</v>
      </c>
      <c r="E244" s="2" t="s">
        <v>17</v>
      </c>
      <c r="F244" s="2" t="s">
        <v>18</v>
      </c>
      <c r="G244" s="2" t="s">
        <v>37</v>
      </c>
      <c r="H244" s="2" t="s">
        <v>38</v>
      </c>
      <c r="I244" s="2" t="s">
        <v>436</v>
      </c>
      <c r="J244" s="5">
        <v>5</v>
      </c>
      <c r="K244" s="6">
        <v>1000</v>
      </c>
      <c r="L244" s="6">
        <f t="shared" si="9"/>
        <v>5000</v>
      </c>
      <c r="M244" s="7">
        <v>8.1000000000000003E-2</v>
      </c>
      <c r="N244" s="6">
        <f t="shared" si="10"/>
        <v>405</v>
      </c>
      <c r="O244" s="6">
        <f t="shared" si="11"/>
        <v>4595</v>
      </c>
    </row>
    <row r="245" spans="1:15">
      <c r="A245" s="8" t="s">
        <v>437</v>
      </c>
      <c r="B245" s="9">
        <v>45324</v>
      </c>
      <c r="C245" s="10">
        <v>2024</v>
      </c>
      <c r="D245" s="8" t="s">
        <v>23</v>
      </c>
      <c r="E245" s="8" t="s">
        <v>35</v>
      </c>
      <c r="F245" s="8" t="s">
        <v>36</v>
      </c>
      <c r="G245" s="8" t="s">
        <v>53</v>
      </c>
      <c r="H245" s="8" t="s">
        <v>193</v>
      </c>
      <c r="I245" s="8" t="s">
        <v>438</v>
      </c>
      <c r="J245" s="11">
        <v>1</v>
      </c>
      <c r="K245" s="12">
        <v>480</v>
      </c>
      <c r="L245" s="12">
        <f t="shared" si="9"/>
        <v>480</v>
      </c>
      <c r="M245" s="13">
        <v>0</v>
      </c>
      <c r="N245" s="12">
        <f t="shared" si="10"/>
        <v>0</v>
      </c>
      <c r="O245" s="12">
        <f t="shared" si="11"/>
        <v>480</v>
      </c>
    </row>
    <row r="246" spans="1:15">
      <c r="A246" s="2" t="s">
        <v>439</v>
      </c>
      <c r="B246" s="3">
        <v>45084</v>
      </c>
      <c r="C246" s="4">
        <v>2023</v>
      </c>
      <c r="D246" s="2" t="s">
        <v>100</v>
      </c>
      <c r="E246" s="2" t="s">
        <v>42</v>
      </c>
      <c r="F246" s="2" t="s">
        <v>43</v>
      </c>
      <c r="G246" s="2" t="s">
        <v>37</v>
      </c>
      <c r="H246" s="2" t="s">
        <v>49</v>
      </c>
      <c r="I246" s="2" t="s">
        <v>164</v>
      </c>
      <c r="J246" s="5">
        <v>3</v>
      </c>
      <c r="K246" s="6">
        <v>3050</v>
      </c>
      <c r="L246" s="6">
        <f t="shared" si="9"/>
        <v>9150</v>
      </c>
      <c r="M246" s="7">
        <v>0</v>
      </c>
      <c r="N246" s="6">
        <f t="shared" si="10"/>
        <v>0</v>
      </c>
      <c r="O246" s="6">
        <f t="shared" si="11"/>
        <v>9150</v>
      </c>
    </row>
    <row r="247" spans="1:15">
      <c r="A247" s="8" t="s">
        <v>440</v>
      </c>
      <c r="B247" s="9">
        <v>44935</v>
      </c>
      <c r="C247" s="10">
        <v>2023</v>
      </c>
      <c r="D247" s="8" t="s">
        <v>169</v>
      </c>
      <c r="E247" s="8" t="s">
        <v>24</v>
      </c>
      <c r="F247" s="8" t="s">
        <v>25</v>
      </c>
      <c r="G247" s="8" t="s">
        <v>53</v>
      </c>
      <c r="H247" s="8" t="s">
        <v>54</v>
      </c>
      <c r="I247" s="8" t="s">
        <v>55</v>
      </c>
      <c r="J247" s="11">
        <v>1</v>
      </c>
      <c r="K247" s="12">
        <v>4500</v>
      </c>
      <c r="L247" s="12">
        <f t="shared" si="9"/>
        <v>4500</v>
      </c>
      <c r="M247" s="13">
        <v>0</v>
      </c>
      <c r="N247" s="12">
        <f t="shared" si="10"/>
        <v>0</v>
      </c>
      <c r="O247" s="12">
        <f t="shared" si="11"/>
        <v>4500</v>
      </c>
    </row>
    <row r="248" spans="1:15">
      <c r="A248" s="2" t="s">
        <v>441</v>
      </c>
      <c r="B248" s="3">
        <v>45906</v>
      </c>
      <c r="C248" s="4">
        <v>2025</v>
      </c>
      <c r="D248" s="2" t="s">
        <v>123</v>
      </c>
      <c r="E248" s="2" t="s">
        <v>42</v>
      </c>
      <c r="F248" s="2" t="s">
        <v>43</v>
      </c>
      <c r="G248" s="2" t="s">
        <v>44</v>
      </c>
      <c r="H248" s="2" t="s">
        <v>45</v>
      </c>
      <c r="I248" s="2" t="s">
        <v>217</v>
      </c>
      <c r="J248" s="5">
        <v>1</v>
      </c>
      <c r="K248" s="6">
        <v>260</v>
      </c>
      <c r="L248" s="6">
        <f t="shared" si="9"/>
        <v>260</v>
      </c>
      <c r="M248" s="7">
        <v>0</v>
      </c>
      <c r="N248" s="6">
        <f t="shared" si="10"/>
        <v>0</v>
      </c>
      <c r="O248" s="6">
        <f t="shared" si="11"/>
        <v>260</v>
      </c>
    </row>
    <row r="249" spans="1:15">
      <c r="A249" s="8" t="s">
        <v>442</v>
      </c>
      <c r="B249" s="9">
        <v>45811</v>
      </c>
      <c r="C249" s="10">
        <v>2025</v>
      </c>
      <c r="D249" s="8" t="s">
        <v>100</v>
      </c>
      <c r="E249" s="8" t="s">
        <v>35</v>
      </c>
      <c r="F249" s="8" t="s">
        <v>36</v>
      </c>
      <c r="G249" s="8" t="s">
        <v>64</v>
      </c>
      <c r="H249" s="8" t="s">
        <v>127</v>
      </c>
      <c r="I249" s="8" t="s">
        <v>255</v>
      </c>
      <c r="J249" s="11">
        <v>1</v>
      </c>
      <c r="K249" s="12">
        <v>4450</v>
      </c>
      <c r="L249" s="12">
        <f t="shared" si="9"/>
        <v>4450</v>
      </c>
      <c r="M249" s="13">
        <v>0</v>
      </c>
      <c r="N249" s="12">
        <f t="shared" si="10"/>
        <v>0</v>
      </c>
      <c r="O249" s="12">
        <f t="shared" si="11"/>
        <v>4450</v>
      </c>
    </row>
    <row r="250" spans="1:15">
      <c r="A250" s="2" t="s">
        <v>443</v>
      </c>
      <c r="B250" s="3">
        <v>45223</v>
      </c>
      <c r="C250" s="4">
        <v>2023</v>
      </c>
      <c r="D250" s="2" t="s">
        <v>72</v>
      </c>
      <c r="E250" s="2" t="s">
        <v>42</v>
      </c>
      <c r="F250" s="2" t="s">
        <v>43</v>
      </c>
      <c r="G250" s="2" t="s">
        <v>19</v>
      </c>
      <c r="H250" s="2" t="s">
        <v>107</v>
      </c>
      <c r="I250" s="2" t="s">
        <v>146</v>
      </c>
      <c r="J250" s="5">
        <v>4</v>
      </c>
      <c r="K250" s="6">
        <v>650</v>
      </c>
      <c r="L250" s="6">
        <f t="shared" si="9"/>
        <v>2600</v>
      </c>
      <c r="M250" s="7">
        <v>5.0000000000000001E-3</v>
      </c>
      <c r="N250" s="6">
        <f t="shared" si="10"/>
        <v>13</v>
      </c>
      <c r="O250" s="6">
        <f t="shared" si="11"/>
        <v>2587</v>
      </c>
    </row>
    <row r="251" spans="1:15">
      <c r="A251" s="8" t="s">
        <v>444</v>
      </c>
      <c r="B251" s="9">
        <v>45946</v>
      </c>
      <c r="C251" s="10">
        <v>2025</v>
      </c>
      <c r="D251" s="8" t="s">
        <v>72</v>
      </c>
      <c r="E251" s="8" t="s">
        <v>24</v>
      </c>
      <c r="F251" s="8" t="s">
        <v>25</v>
      </c>
      <c r="G251" s="8" t="s">
        <v>44</v>
      </c>
      <c r="H251" s="8" t="s">
        <v>45</v>
      </c>
      <c r="I251" s="8" t="s">
        <v>190</v>
      </c>
      <c r="J251" s="11">
        <v>3</v>
      </c>
      <c r="K251" s="12">
        <v>800</v>
      </c>
      <c r="L251" s="12">
        <f t="shared" si="9"/>
        <v>2400</v>
      </c>
      <c r="M251" s="13">
        <v>9.8000000000000004E-2</v>
      </c>
      <c r="N251" s="12">
        <f t="shared" si="10"/>
        <v>235.20000000000002</v>
      </c>
      <c r="O251" s="12">
        <f t="shared" si="11"/>
        <v>2164.8000000000002</v>
      </c>
    </row>
    <row r="252" spans="1:15">
      <c r="A252" s="2" t="s">
        <v>445</v>
      </c>
      <c r="B252" s="3">
        <v>45504</v>
      </c>
      <c r="C252" s="4">
        <v>2024</v>
      </c>
      <c r="D252" s="2" t="s">
        <v>68</v>
      </c>
      <c r="E252" s="2" t="s">
        <v>35</v>
      </c>
      <c r="F252" s="2" t="s">
        <v>36</v>
      </c>
      <c r="G252" s="2" t="s">
        <v>31</v>
      </c>
      <c r="H252" s="2" t="s">
        <v>81</v>
      </c>
      <c r="I252" s="2" t="s">
        <v>148</v>
      </c>
      <c r="J252" s="5">
        <v>5</v>
      </c>
      <c r="K252" s="6">
        <v>900</v>
      </c>
      <c r="L252" s="6">
        <f t="shared" si="9"/>
        <v>4500</v>
      </c>
      <c r="M252" s="7">
        <v>7.0000000000000001E-3</v>
      </c>
      <c r="N252" s="6">
        <f t="shared" si="10"/>
        <v>31.5</v>
      </c>
      <c r="O252" s="6">
        <f t="shared" si="11"/>
        <v>4468.5</v>
      </c>
    </row>
    <row r="253" spans="1:15">
      <c r="A253" s="8" t="s">
        <v>446</v>
      </c>
      <c r="B253" s="9">
        <v>46007</v>
      </c>
      <c r="C253" s="10">
        <v>2025</v>
      </c>
      <c r="D253" s="8" t="s">
        <v>16</v>
      </c>
      <c r="E253" s="8" t="s">
        <v>17</v>
      </c>
      <c r="F253" s="8" t="s">
        <v>18</v>
      </c>
      <c r="G253" s="8" t="s">
        <v>19</v>
      </c>
      <c r="H253" s="8" t="s">
        <v>69</v>
      </c>
      <c r="I253" s="8" t="s">
        <v>70</v>
      </c>
      <c r="J253" s="11">
        <v>3</v>
      </c>
      <c r="K253" s="12">
        <v>2450</v>
      </c>
      <c r="L253" s="12">
        <f t="shared" si="9"/>
        <v>7350</v>
      </c>
      <c r="M253" s="13">
        <v>0</v>
      </c>
      <c r="N253" s="12">
        <f t="shared" si="10"/>
        <v>0</v>
      </c>
      <c r="O253" s="12">
        <f t="shared" si="11"/>
        <v>7350</v>
      </c>
    </row>
    <row r="254" spans="1:15">
      <c r="A254" s="2" t="s">
        <v>447</v>
      </c>
      <c r="B254" s="3">
        <v>45167</v>
      </c>
      <c r="C254" s="4">
        <v>2023</v>
      </c>
      <c r="D254" s="2" t="s">
        <v>52</v>
      </c>
      <c r="E254" s="2" t="s">
        <v>24</v>
      </c>
      <c r="F254" s="2" t="s">
        <v>25</v>
      </c>
      <c r="G254" s="2" t="s">
        <v>31</v>
      </c>
      <c r="H254" s="2" t="s">
        <v>84</v>
      </c>
      <c r="I254" s="2" t="s">
        <v>448</v>
      </c>
      <c r="J254" s="5">
        <v>5</v>
      </c>
      <c r="K254" s="6">
        <v>950</v>
      </c>
      <c r="L254" s="6">
        <f t="shared" si="9"/>
        <v>4750</v>
      </c>
      <c r="M254" s="7">
        <v>0</v>
      </c>
      <c r="N254" s="6">
        <f t="shared" si="10"/>
        <v>0</v>
      </c>
      <c r="O254" s="6">
        <f t="shared" si="11"/>
        <v>4750</v>
      </c>
    </row>
    <row r="255" spans="1:15">
      <c r="A255" s="8" t="s">
        <v>449</v>
      </c>
      <c r="B255" s="9">
        <v>45112</v>
      </c>
      <c r="C255" s="10">
        <v>2023</v>
      </c>
      <c r="D255" s="8" t="s">
        <v>68</v>
      </c>
      <c r="E255" s="8" t="s">
        <v>35</v>
      </c>
      <c r="F255" s="8" t="s">
        <v>36</v>
      </c>
      <c r="G255" s="8" t="s">
        <v>31</v>
      </c>
      <c r="H255" s="8" t="s">
        <v>32</v>
      </c>
      <c r="I255" s="8" t="s">
        <v>292</v>
      </c>
      <c r="J255" s="11">
        <v>5</v>
      </c>
      <c r="K255" s="12">
        <v>950</v>
      </c>
      <c r="L255" s="12">
        <f t="shared" si="9"/>
        <v>4750</v>
      </c>
      <c r="M255" s="13">
        <v>8.9999999999999993E-3</v>
      </c>
      <c r="N255" s="12">
        <f t="shared" si="10"/>
        <v>42.75</v>
      </c>
      <c r="O255" s="12">
        <f t="shared" si="11"/>
        <v>4707.25</v>
      </c>
    </row>
    <row r="256" spans="1:15">
      <c r="A256" s="2" t="s">
        <v>450</v>
      </c>
      <c r="B256" s="3">
        <v>45934</v>
      </c>
      <c r="C256" s="4">
        <v>2025</v>
      </c>
      <c r="D256" s="2" t="s">
        <v>72</v>
      </c>
      <c r="E256" s="2" t="s">
        <v>35</v>
      </c>
      <c r="F256" s="2" t="s">
        <v>36</v>
      </c>
      <c r="G256" s="2" t="s">
        <v>31</v>
      </c>
      <c r="H256" s="2" t="s">
        <v>124</v>
      </c>
      <c r="I256" s="2" t="s">
        <v>188</v>
      </c>
      <c r="J256" s="5">
        <v>5</v>
      </c>
      <c r="K256" s="6">
        <v>1000</v>
      </c>
      <c r="L256" s="6">
        <f t="shared" si="9"/>
        <v>5000</v>
      </c>
      <c r="M256" s="7">
        <v>0</v>
      </c>
      <c r="N256" s="6">
        <f t="shared" si="10"/>
        <v>0</v>
      </c>
      <c r="O256" s="6">
        <f t="shared" si="11"/>
        <v>5000</v>
      </c>
    </row>
    <row r="257" spans="1:15">
      <c r="A257" s="8" t="s">
        <v>451</v>
      </c>
      <c r="B257" s="9">
        <v>44957</v>
      </c>
      <c r="C257" s="10">
        <v>2023</v>
      </c>
      <c r="D257" s="8" t="s">
        <v>169</v>
      </c>
      <c r="E257" s="8" t="s">
        <v>42</v>
      </c>
      <c r="F257" s="8" t="s">
        <v>43</v>
      </c>
      <c r="G257" s="8" t="s">
        <v>37</v>
      </c>
      <c r="H257" s="8" t="s">
        <v>104</v>
      </c>
      <c r="I257" s="8" t="s">
        <v>289</v>
      </c>
      <c r="J257" s="11">
        <v>2</v>
      </c>
      <c r="K257" s="12">
        <v>2850</v>
      </c>
      <c r="L257" s="12">
        <f t="shared" si="9"/>
        <v>5700</v>
      </c>
      <c r="M257" s="13">
        <v>1.4E-2</v>
      </c>
      <c r="N257" s="12">
        <f t="shared" si="10"/>
        <v>79.8</v>
      </c>
      <c r="O257" s="12">
        <f t="shared" si="11"/>
        <v>5620.2</v>
      </c>
    </row>
    <row r="258" spans="1:15">
      <c r="A258" s="2" t="s">
        <v>452</v>
      </c>
      <c r="B258" s="3">
        <v>45995</v>
      </c>
      <c r="C258" s="4">
        <v>2025</v>
      </c>
      <c r="D258" s="2" t="s">
        <v>16</v>
      </c>
      <c r="E258" s="2" t="s">
        <v>42</v>
      </c>
      <c r="F258" s="2" t="s">
        <v>43</v>
      </c>
      <c r="G258" s="2" t="s">
        <v>44</v>
      </c>
      <c r="H258" s="2" t="s">
        <v>176</v>
      </c>
      <c r="I258" s="2" t="s">
        <v>453</v>
      </c>
      <c r="J258" s="5">
        <v>8</v>
      </c>
      <c r="K258" s="6">
        <v>800</v>
      </c>
      <c r="L258" s="6">
        <f t="shared" ref="L258:L321" si="12">J258*K258</f>
        <v>6400</v>
      </c>
      <c r="M258" s="7">
        <v>0</v>
      </c>
      <c r="N258" s="6">
        <f t="shared" ref="N258:N321" si="13">L258*M258</f>
        <v>0</v>
      </c>
      <c r="O258" s="6">
        <f t="shared" ref="O258:O321" si="14">L258-N258</f>
        <v>6400</v>
      </c>
    </row>
    <row r="259" spans="1:15">
      <c r="A259" s="8" t="s">
        <v>454</v>
      </c>
      <c r="B259" s="9">
        <v>45884</v>
      </c>
      <c r="C259" s="10">
        <v>2025</v>
      </c>
      <c r="D259" s="8" t="s">
        <v>52</v>
      </c>
      <c r="E259" s="8" t="s">
        <v>42</v>
      </c>
      <c r="F259" s="8" t="s">
        <v>43</v>
      </c>
      <c r="G259" s="8" t="s">
        <v>64</v>
      </c>
      <c r="H259" s="8" t="s">
        <v>65</v>
      </c>
      <c r="I259" s="8" t="s">
        <v>309</v>
      </c>
      <c r="J259" s="11">
        <v>1</v>
      </c>
      <c r="K259" s="12">
        <v>3950</v>
      </c>
      <c r="L259" s="12">
        <f t="shared" si="12"/>
        <v>3950</v>
      </c>
      <c r="M259" s="13">
        <v>0</v>
      </c>
      <c r="N259" s="12">
        <f t="shared" si="13"/>
        <v>0</v>
      </c>
      <c r="O259" s="12">
        <f t="shared" si="14"/>
        <v>3950</v>
      </c>
    </row>
    <row r="260" spans="1:15">
      <c r="A260" s="2" t="s">
        <v>455</v>
      </c>
      <c r="B260" s="3">
        <v>45007</v>
      </c>
      <c r="C260" s="4">
        <v>2023</v>
      </c>
      <c r="D260" s="2" t="s">
        <v>78</v>
      </c>
      <c r="E260" s="2" t="s">
        <v>42</v>
      </c>
      <c r="F260" s="2" t="s">
        <v>43</v>
      </c>
      <c r="G260" s="2" t="s">
        <v>44</v>
      </c>
      <c r="H260" s="2" t="s">
        <v>223</v>
      </c>
      <c r="I260" s="2" t="s">
        <v>320</v>
      </c>
      <c r="J260" s="5">
        <v>3</v>
      </c>
      <c r="K260" s="6">
        <v>650</v>
      </c>
      <c r="L260" s="6">
        <f t="shared" si="12"/>
        <v>1950</v>
      </c>
      <c r="M260" s="7">
        <v>8.2000000000000003E-2</v>
      </c>
      <c r="N260" s="6">
        <f t="shared" si="13"/>
        <v>159.9</v>
      </c>
      <c r="O260" s="6">
        <f t="shared" si="14"/>
        <v>1790.1</v>
      </c>
    </row>
    <row r="261" spans="1:15">
      <c r="A261" s="8" t="s">
        <v>456</v>
      </c>
      <c r="B261" s="9">
        <v>45402</v>
      </c>
      <c r="C261" s="10">
        <v>2024</v>
      </c>
      <c r="D261" s="8" t="s">
        <v>30</v>
      </c>
      <c r="E261" s="8" t="s">
        <v>42</v>
      </c>
      <c r="F261" s="8" t="s">
        <v>43</v>
      </c>
      <c r="G261" s="8" t="s">
        <v>44</v>
      </c>
      <c r="H261" s="8" t="s">
        <v>45</v>
      </c>
      <c r="I261" s="8" t="s">
        <v>307</v>
      </c>
      <c r="J261" s="11">
        <v>3</v>
      </c>
      <c r="K261" s="12">
        <v>800</v>
      </c>
      <c r="L261" s="12">
        <f t="shared" si="12"/>
        <v>2400</v>
      </c>
      <c r="M261" s="13">
        <v>0</v>
      </c>
      <c r="N261" s="12">
        <f t="shared" si="13"/>
        <v>0</v>
      </c>
      <c r="O261" s="12">
        <f t="shared" si="14"/>
        <v>2400</v>
      </c>
    </row>
    <row r="262" spans="1:15">
      <c r="A262" s="2" t="s">
        <v>457</v>
      </c>
      <c r="B262" s="3">
        <v>45907</v>
      </c>
      <c r="C262" s="4">
        <v>2025</v>
      </c>
      <c r="D262" s="2" t="s">
        <v>123</v>
      </c>
      <c r="E262" s="2" t="s">
        <v>24</v>
      </c>
      <c r="F262" s="2" t="s">
        <v>25</v>
      </c>
      <c r="G262" s="2" t="s">
        <v>44</v>
      </c>
      <c r="H262" s="2" t="s">
        <v>45</v>
      </c>
      <c r="I262" s="2" t="s">
        <v>46</v>
      </c>
      <c r="J262" s="5">
        <v>2</v>
      </c>
      <c r="K262" s="6">
        <v>550</v>
      </c>
      <c r="L262" s="6">
        <f t="shared" si="12"/>
        <v>1100</v>
      </c>
      <c r="M262" s="7">
        <v>9.0999999999999998E-2</v>
      </c>
      <c r="N262" s="6">
        <f t="shared" si="13"/>
        <v>100.1</v>
      </c>
      <c r="O262" s="6">
        <f t="shared" si="14"/>
        <v>999.9</v>
      </c>
    </row>
    <row r="263" spans="1:15">
      <c r="A263" s="8" t="s">
        <v>458</v>
      </c>
      <c r="B263" s="9">
        <v>45026</v>
      </c>
      <c r="C263" s="10">
        <v>2023</v>
      </c>
      <c r="D263" s="8" t="s">
        <v>30</v>
      </c>
      <c r="E263" s="8" t="s">
        <v>35</v>
      </c>
      <c r="F263" s="8" t="s">
        <v>36</v>
      </c>
      <c r="G263" s="8" t="s">
        <v>37</v>
      </c>
      <c r="H263" s="8" t="s">
        <v>49</v>
      </c>
      <c r="I263" s="8" t="s">
        <v>50</v>
      </c>
      <c r="J263" s="11">
        <v>1</v>
      </c>
      <c r="K263" s="12">
        <v>230</v>
      </c>
      <c r="L263" s="12">
        <f t="shared" si="12"/>
        <v>230</v>
      </c>
      <c r="M263" s="13">
        <v>0</v>
      </c>
      <c r="N263" s="12">
        <f t="shared" si="13"/>
        <v>0</v>
      </c>
      <c r="O263" s="12">
        <f t="shared" si="14"/>
        <v>230</v>
      </c>
    </row>
    <row r="264" spans="1:15">
      <c r="A264" s="2" t="s">
        <v>459</v>
      </c>
      <c r="B264" s="3">
        <v>45433</v>
      </c>
      <c r="C264" s="4">
        <v>2024</v>
      </c>
      <c r="D264" s="2" t="s">
        <v>48</v>
      </c>
      <c r="E264" s="2" t="s">
        <v>24</v>
      </c>
      <c r="F264" s="2" t="s">
        <v>25</v>
      </c>
      <c r="G264" s="2" t="s">
        <v>53</v>
      </c>
      <c r="H264" s="2" t="s">
        <v>136</v>
      </c>
      <c r="I264" s="2" t="s">
        <v>322</v>
      </c>
      <c r="J264" s="5">
        <v>1</v>
      </c>
      <c r="K264" s="6">
        <v>2450</v>
      </c>
      <c r="L264" s="6">
        <f t="shared" si="12"/>
        <v>2450</v>
      </c>
      <c r="M264" s="7">
        <v>5.7000000000000002E-2</v>
      </c>
      <c r="N264" s="6">
        <f t="shared" si="13"/>
        <v>139.65</v>
      </c>
      <c r="O264" s="6">
        <f t="shared" si="14"/>
        <v>2310.35</v>
      </c>
    </row>
    <row r="265" spans="1:15">
      <c r="A265" s="8" t="s">
        <v>460</v>
      </c>
      <c r="B265" s="9">
        <v>44949</v>
      </c>
      <c r="C265" s="10">
        <v>2023</v>
      </c>
      <c r="D265" s="8" t="s">
        <v>169</v>
      </c>
      <c r="E265" s="8" t="s">
        <v>17</v>
      </c>
      <c r="F265" s="8" t="s">
        <v>18</v>
      </c>
      <c r="G265" s="8" t="s">
        <v>26</v>
      </c>
      <c r="H265" s="8" t="s">
        <v>27</v>
      </c>
      <c r="I265" s="8" t="s">
        <v>196</v>
      </c>
      <c r="J265" s="11">
        <v>1</v>
      </c>
      <c r="K265" s="12">
        <v>59000</v>
      </c>
      <c r="L265" s="12">
        <f t="shared" si="12"/>
        <v>59000</v>
      </c>
      <c r="M265" s="13">
        <v>0</v>
      </c>
      <c r="N265" s="12">
        <f t="shared" si="13"/>
        <v>0</v>
      </c>
      <c r="O265" s="12">
        <f t="shared" si="14"/>
        <v>59000</v>
      </c>
    </row>
    <row r="266" spans="1:15">
      <c r="A266" s="2" t="s">
        <v>461</v>
      </c>
      <c r="B266" s="3">
        <v>45802</v>
      </c>
      <c r="C266" s="4">
        <v>2025</v>
      </c>
      <c r="D266" s="2" t="s">
        <v>48</v>
      </c>
      <c r="E266" s="2" t="s">
        <v>42</v>
      </c>
      <c r="F266" s="2" t="s">
        <v>43</v>
      </c>
      <c r="G266" s="2" t="s">
        <v>19</v>
      </c>
      <c r="H266" s="2" t="s">
        <v>116</v>
      </c>
      <c r="I266" s="2" t="s">
        <v>117</v>
      </c>
      <c r="J266" s="5">
        <v>1</v>
      </c>
      <c r="K266" s="6">
        <v>2150</v>
      </c>
      <c r="L266" s="6">
        <f t="shared" si="12"/>
        <v>2150</v>
      </c>
      <c r="M266" s="7">
        <v>0</v>
      </c>
      <c r="N266" s="6">
        <f t="shared" si="13"/>
        <v>0</v>
      </c>
      <c r="O266" s="6">
        <f t="shared" si="14"/>
        <v>2150</v>
      </c>
    </row>
    <row r="267" spans="1:15">
      <c r="A267" s="8" t="s">
        <v>462</v>
      </c>
      <c r="B267" s="9">
        <v>45053</v>
      </c>
      <c r="C267" s="10">
        <v>2023</v>
      </c>
      <c r="D267" s="8" t="s">
        <v>48</v>
      </c>
      <c r="E267" s="8" t="s">
        <v>17</v>
      </c>
      <c r="F267" s="8" t="s">
        <v>18</v>
      </c>
      <c r="G267" s="8" t="s">
        <v>64</v>
      </c>
      <c r="H267" s="8" t="s">
        <v>94</v>
      </c>
      <c r="I267" s="8" t="s">
        <v>420</v>
      </c>
      <c r="J267" s="11">
        <v>1</v>
      </c>
      <c r="K267" s="12">
        <v>3300</v>
      </c>
      <c r="L267" s="12">
        <f t="shared" si="12"/>
        <v>3300</v>
      </c>
      <c r="M267" s="13">
        <v>0</v>
      </c>
      <c r="N267" s="12">
        <f t="shared" si="13"/>
        <v>0</v>
      </c>
      <c r="O267" s="12">
        <f t="shared" si="14"/>
        <v>3300</v>
      </c>
    </row>
    <row r="268" spans="1:15">
      <c r="A268" s="2" t="s">
        <v>463</v>
      </c>
      <c r="B268" s="3">
        <v>45582</v>
      </c>
      <c r="C268" s="4">
        <v>2024</v>
      </c>
      <c r="D268" s="2" t="s">
        <v>72</v>
      </c>
      <c r="E268" s="2" t="s">
        <v>24</v>
      </c>
      <c r="F268" s="2" t="s">
        <v>25</v>
      </c>
      <c r="G268" s="2" t="s">
        <v>44</v>
      </c>
      <c r="H268" s="2" t="s">
        <v>45</v>
      </c>
      <c r="I268" s="2" t="s">
        <v>46</v>
      </c>
      <c r="J268" s="5">
        <v>1</v>
      </c>
      <c r="K268" s="6">
        <v>1250</v>
      </c>
      <c r="L268" s="6">
        <f t="shared" si="12"/>
        <v>1250</v>
      </c>
      <c r="M268" s="7">
        <v>0</v>
      </c>
      <c r="N268" s="6">
        <f t="shared" si="13"/>
        <v>0</v>
      </c>
      <c r="O268" s="6">
        <f t="shared" si="14"/>
        <v>1250</v>
      </c>
    </row>
    <row r="269" spans="1:15">
      <c r="A269" s="8" t="s">
        <v>464</v>
      </c>
      <c r="B269" s="9">
        <v>45331</v>
      </c>
      <c r="C269" s="10">
        <v>2024</v>
      </c>
      <c r="D269" s="8" t="s">
        <v>23</v>
      </c>
      <c r="E269" s="8" t="s">
        <v>35</v>
      </c>
      <c r="F269" s="8" t="s">
        <v>36</v>
      </c>
      <c r="G269" s="8" t="s">
        <v>31</v>
      </c>
      <c r="H269" s="8" t="s">
        <v>81</v>
      </c>
      <c r="I269" s="8" t="s">
        <v>82</v>
      </c>
      <c r="J269" s="11">
        <v>1</v>
      </c>
      <c r="K269" s="12">
        <v>420</v>
      </c>
      <c r="L269" s="12">
        <f t="shared" si="12"/>
        <v>420</v>
      </c>
      <c r="M269" s="13">
        <v>0</v>
      </c>
      <c r="N269" s="12">
        <f t="shared" si="13"/>
        <v>0</v>
      </c>
      <c r="O269" s="12">
        <f t="shared" si="14"/>
        <v>420</v>
      </c>
    </row>
    <row r="270" spans="1:15">
      <c r="A270" s="2" t="s">
        <v>465</v>
      </c>
      <c r="B270" s="3">
        <v>45446</v>
      </c>
      <c r="C270" s="4">
        <v>2024</v>
      </c>
      <c r="D270" s="2" t="s">
        <v>100</v>
      </c>
      <c r="E270" s="2" t="s">
        <v>17</v>
      </c>
      <c r="F270" s="2" t="s">
        <v>18</v>
      </c>
      <c r="G270" s="2" t="s">
        <v>31</v>
      </c>
      <c r="H270" s="2" t="s">
        <v>32</v>
      </c>
      <c r="I270" s="2" t="s">
        <v>33</v>
      </c>
      <c r="J270" s="5">
        <v>2</v>
      </c>
      <c r="K270" s="6">
        <v>900</v>
      </c>
      <c r="L270" s="6">
        <f t="shared" si="12"/>
        <v>1800</v>
      </c>
      <c r="M270" s="7">
        <v>0</v>
      </c>
      <c r="N270" s="6">
        <f t="shared" si="13"/>
        <v>0</v>
      </c>
      <c r="O270" s="6">
        <f t="shared" si="14"/>
        <v>1800</v>
      </c>
    </row>
    <row r="271" spans="1:15">
      <c r="A271" s="8" t="s">
        <v>466</v>
      </c>
      <c r="B271" s="9">
        <v>45271</v>
      </c>
      <c r="C271" s="10">
        <v>2023</v>
      </c>
      <c r="D271" s="8" t="s">
        <v>16</v>
      </c>
      <c r="E271" s="8" t="s">
        <v>35</v>
      </c>
      <c r="F271" s="8" t="s">
        <v>36</v>
      </c>
      <c r="G271" s="8" t="s">
        <v>53</v>
      </c>
      <c r="H271" s="8" t="s">
        <v>54</v>
      </c>
      <c r="I271" s="8" t="s">
        <v>467</v>
      </c>
      <c r="J271" s="11">
        <v>2</v>
      </c>
      <c r="K271" s="12">
        <v>4000</v>
      </c>
      <c r="L271" s="12">
        <f t="shared" si="12"/>
        <v>8000</v>
      </c>
      <c r="M271" s="13">
        <v>0</v>
      </c>
      <c r="N271" s="12">
        <f t="shared" si="13"/>
        <v>0</v>
      </c>
      <c r="O271" s="12">
        <f t="shared" si="14"/>
        <v>8000</v>
      </c>
    </row>
    <row r="272" spans="1:15">
      <c r="A272" s="2" t="s">
        <v>468</v>
      </c>
      <c r="B272" s="3">
        <v>45411</v>
      </c>
      <c r="C272" s="4">
        <v>2024</v>
      </c>
      <c r="D272" s="2" t="s">
        <v>30</v>
      </c>
      <c r="E272" s="2" t="s">
        <v>42</v>
      </c>
      <c r="F272" s="2" t="s">
        <v>43</v>
      </c>
      <c r="G272" s="2" t="s">
        <v>53</v>
      </c>
      <c r="H272" s="2" t="s">
        <v>54</v>
      </c>
      <c r="I272" s="2" t="s">
        <v>467</v>
      </c>
      <c r="J272" s="5">
        <v>3</v>
      </c>
      <c r="K272" s="6">
        <v>1150</v>
      </c>
      <c r="L272" s="6">
        <f t="shared" si="12"/>
        <v>3450</v>
      </c>
      <c r="M272" s="7">
        <v>0</v>
      </c>
      <c r="N272" s="6">
        <f t="shared" si="13"/>
        <v>0</v>
      </c>
      <c r="O272" s="6">
        <f t="shared" si="14"/>
        <v>3450</v>
      </c>
    </row>
    <row r="273" spans="1:15">
      <c r="A273" s="8" t="s">
        <v>469</v>
      </c>
      <c r="B273" s="9">
        <v>45254</v>
      </c>
      <c r="C273" s="10">
        <v>2023</v>
      </c>
      <c r="D273" s="8" t="s">
        <v>41</v>
      </c>
      <c r="E273" s="8" t="s">
        <v>17</v>
      </c>
      <c r="F273" s="8" t="s">
        <v>18</v>
      </c>
      <c r="G273" s="8" t="s">
        <v>64</v>
      </c>
      <c r="H273" s="8" t="s">
        <v>97</v>
      </c>
      <c r="I273" s="8" t="s">
        <v>98</v>
      </c>
      <c r="J273" s="11">
        <v>3</v>
      </c>
      <c r="K273" s="12">
        <v>3200</v>
      </c>
      <c r="L273" s="12">
        <f t="shared" si="12"/>
        <v>9600</v>
      </c>
      <c r="M273" s="13">
        <v>0.26</v>
      </c>
      <c r="N273" s="12">
        <f t="shared" si="13"/>
        <v>2496</v>
      </c>
      <c r="O273" s="12">
        <f t="shared" si="14"/>
        <v>7104</v>
      </c>
    </row>
    <row r="274" spans="1:15">
      <c r="A274" s="2" t="s">
        <v>470</v>
      </c>
      <c r="B274" s="3">
        <v>44936</v>
      </c>
      <c r="C274" s="4">
        <v>2023</v>
      </c>
      <c r="D274" s="2" t="s">
        <v>169</v>
      </c>
      <c r="E274" s="2" t="s">
        <v>17</v>
      </c>
      <c r="F274" s="2" t="s">
        <v>18</v>
      </c>
      <c r="G274" s="2" t="s">
        <v>31</v>
      </c>
      <c r="H274" s="2" t="s">
        <v>124</v>
      </c>
      <c r="I274" s="2" t="s">
        <v>266</v>
      </c>
      <c r="J274" s="5">
        <v>8</v>
      </c>
      <c r="K274" s="6">
        <v>1150</v>
      </c>
      <c r="L274" s="6">
        <f t="shared" si="12"/>
        <v>9200</v>
      </c>
      <c r="M274" s="7">
        <v>1.7000000000000001E-2</v>
      </c>
      <c r="N274" s="6">
        <f t="shared" si="13"/>
        <v>156.4</v>
      </c>
      <c r="O274" s="6">
        <f t="shared" si="14"/>
        <v>9043.6</v>
      </c>
    </row>
    <row r="275" spans="1:15">
      <c r="A275" s="8" t="s">
        <v>471</v>
      </c>
      <c r="B275" s="9">
        <v>45248</v>
      </c>
      <c r="C275" s="10">
        <v>2023</v>
      </c>
      <c r="D275" s="8" t="s">
        <v>41</v>
      </c>
      <c r="E275" s="8" t="s">
        <v>17</v>
      </c>
      <c r="F275" s="8" t="s">
        <v>18</v>
      </c>
      <c r="G275" s="8" t="s">
        <v>26</v>
      </c>
      <c r="H275" s="8" t="s">
        <v>110</v>
      </c>
      <c r="I275" s="8" t="s">
        <v>313</v>
      </c>
      <c r="J275" s="11">
        <v>1</v>
      </c>
      <c r="K275" s="12">
        <v>56000</v>
      </c>
      <c r="L275" s="12">
        <f t="shared" si="12"/>
        <v>56000</v>
      </c>
      <c r="M275" s="13">
        <v>6.7000000000000004E-2</v>
      </c>
      <c r="N275" s="12">
        <f t="shared" si="13"/>
        <v>3752</v>
      </c>
      <c r="O275" s="12">
        <f t="shared" si="14"/>
        <v>52248</v>
      </c>
    </row>
    <row r="276" spans="1:15">
      <c r="A276" s="2" t="s">
        <v>472</v>
      </c>
      <c r="B276" s="3">
        <v>45096</v>
      </c>
      <c r="C276" s="4">
        <v>2023</v>
      </c>
      <c r="D276" s="2" t="s">
        <v>100</v>
      </c>
      <c r="E276" s="2" t="s">
        <v>42</v>
      </c>
      <c r="F276" s="2" t="s">
        <v>43</v>
      </c>
      <c r="G276" s="2" t="s">
        <v>19</v>
      </c>
      <c r="H276" s="2" t="s">
        <v>116</v>
      </c>
      <c r="I276" s="2" t="s">
        <v>210</v>
      </c>
      <c r="J276" s="5">
        <v>6</v>
      </c>
      <c r="K276" s="6">
        <v>490</v>
      </c>
      <c r="L276" s="6">
        <f t="shared" si="12"/>
        <v>2940</v>
      </c>
      <c r="M276" s="7">
        <v>0</v>
      </c>
      <c r="N276" s="6">
        <f t="shared" si="13"/>
        <v>0</v>
      </c>
      <c r="O276" s="6">
        <f t="shared" si="14"/>
        <v>2940</v>
      </c>
    </row>
    <row r="277" spans="1:15">
      <c r="A277" s="8" t="s">
        <v>473</v>
      </c>
      <c r="B277" s="9">
        <v>45374</v>
      </c>
      <c r="C277" s="10">
        <v>2024</v>
      </c>
      <c r="D277" s="8" t="s">
        <v>78</v>
      </c>
      <c r="E277" s="8" t="s">
        <v>35</v>
      </c>
      <c r="F277" s="8" t="s">
        <v>36</v>
      </c>
      <c r="G277" s="8" t="s">
        <v>37</v>
      </c>
      <c r="H277" s="8" t="s">
        <v>91</v>
      </c>
      <c r="I277" s="8" t="s">
        <v>92</v>
      </c>
      <c r="J277" s="11">
        <v>3</v>
      </c>
      <c r="K277" s="12">
        <v>3000</v>
      </c>
      <c r="L277" s="12">
        <f t="shared" si="12"/>
        <v>9000</v>
      </c>
      <c r="M277" s="13">
        <v>6.0999999999999999E-2</v>
      </c>
      <c r="N277" s="12">
        <f t="shared" si="13"/>
        <v>549</v>
      </c>
      <c r="O277" s="12">
        <f t="shared" si="14"/>
        <v>8451</v>
      </c>
    </row>
    <row r="278" spans="1:15">
      <c r="A278" s="2" t="s">
        <v>474</v>
      </c>
      <c r="B278" s="3">
        <v>45883</v>
      </c>
      <c r="C278" s="4">
        <v>2025</v>
      </c>
      <c r="D278" s="2" t="s">
        <v>52</v>
      </c>
      <c r="E278" s="2" t="s">
        <v>35</v>
      </c>
      <c r="F278" s="2" t="s">
        <v>36</v>
      </c>
      <c r="G278" s="2" t="s">
        <v>44</v>
      </c>
      <c r="H278" s="2" t="s">
        <v>61</v>
      </c>
      <c r="I278" s="2" t="s">
        <v>348</v>
      </c>
      <c r="J278" s="5">
        <v>2</v>
      </c>
      <c r="K278" s="6">
        <v>1650</v>
      </c>
      <c r="L278" s="6">
        <f t="shared" si="12"/>
        <v>3300</v>
      </c>
      <c r="M278" s="7">
        <v>8.5000000000000006E-2</v>
      </c>
      <c r="N278" s="6">
        <f t="shared" si="13"/>
        <v>280.5</v>
      </c>
      <c r="O278" s="6">
        <f t="shared" si="14"/>
        <v>3019.5</v>
      </c>
    </row>
    <row r="279" spans="1:15">
      <c r="A279" s="8" t="s">
        <v>475</v>
      </c>
      <c r="B279" s="9">
        <v>45971</v>
      </c>
      <c r="C279" s="10">
        <v>2025</v>
      </c>
      <c r="D279" s="8" t="s">
        <v>41</v>
      </c>
      <c r="E279" s="8" t="s">
        <v>42</v>
      </c>
      <c r="F279" s="8" t="s">
        <v>43</v>
      </c>
      <c r="G279" s="8" t="s">
        <v>64</v>
      </c>
      <c r="H279" s="8" t="s">
        <v>97</v>
      </c>
      <c r="I279" s="8" t="s">
        <v>212</v>
      </c>
      <c r="J279" s="11">
        <v>1</v>
      </c>
      <c r="K279" s="12">
        <v>2550</v>
      </c>
      <c r="L279" s="12">
        <f t="shared" si="12"/>
        <v>2550</v>
      </c>
      <c r="M279" s="13">
        <v>0</v>
      </c>
      <c r="N279" s="12">
        <f t="shared" si="13"/>
        <v>0</v>
      </c>
      <c r="O279" s="12">
        <f t="shared" si="14"/>
        <v>2550</v>
      </c>
    </row>
    <row r="280" spans="1:15">
      <c r="A280" s="2" t="s">
        <v>476</v>
      </c>
      <c r="B280" s="3">
        <v>45590</v>
      </c>
      <c r="C280" s="4">
        <v>2024</v>
      </c>
      <c r="D280" s="2" t="s">
        <v>72</v>
      </c>
      <c r="E280" s="2" t="s">
        <v>42</v>
      </c>
      <c r="F280" s="2" t="s">
        <v>43</v>
      </c>
      <c r="G280" s="2" t="s">
        <v>53</v>
      </c>
      <c r="H280" s="2" t="s">
        <v>136</v>
      </c>
      <c r="I280" s="2" t="s">
        <v>245</v>
      </c>
      <c r="J280" s="5">
        <v>3</v>
      </c>
      <c r="K280" s="6">
        <v>430</v>
      </c>
      <c r="L280" s="6">
        <f t="shared" si="12"/>
        <v>1290</v>
      </c>
      <c r="M280" s="7">
        <v>0.02</v>
      </c>
      <c r="N280" s="6">
        <f t="shared" si="13"/>
        <v>25.8</v>
      </c>
      <c r="O280" s="6">
        <f t="shared" si="14"/>
        <v>1264.2</v>
      </c>
    </row>
    <row r="281" spans="1:15">
      <c r="A281" s="8" t="s">
        <v>477</v>
      </c>
      <c r="B281" s="9">
        <v>45547</v>
      </c>
      <c r="C281" s="10">
        <v>2024</v>
      </c>
      <c r="D281" s="8" t="s">
        <v>123</v>
      </c>
      <c r="E281" s="8" t="s">
        <v>17</v>
      </c>
      <c r="F281" s="8" t="s">
        <v>18</v>
      </c>
      <c r="G281" s="8" t="s">
        <v>19</v>
      </c>
      <c r="H281" s="8" t="s">
        <v>141</v>
      </c>
      <c r="I281" s="8" t="s">
        <v>142</v>
      </c>
      <c r="J281" s="11">
        <v>2</v>
      </c>
      <c r="K281" s="12">
        <v>1600</v>
      </c>
      <c r="L281" s="12">
        <f t="shared" si="12"/>
        <v>3200</v>
      </c>
      <c r="M281" s="13">
        <v>6.5000000000000002E-2</v>
      </c>
      <c r="N281" s="12">
        <f t="shared" si="13"/>
        <v>208</v>
      </c>
      <c r="O281" s="12">
        <f t="shared" si="14"/>
        <v>2992</v>
      </c>
    </row>
    <row r="282" spans="1:15">
      <c r="A282" s="2" t="s">
        <v>478</v>
      </c>
      <c r="B282" s="3">
        <v>45351</v>
      </c>
      <c r="C282" s="4">
        <v>2024</v>
      </c>
      <c r="D282" s="2" t="s">
        <v>23</v>
      </c>
      <c r="E282" s="2" t="s">
        <v>35</v>
      </c>
      <c r="F282" s="2" t="s">
        <v>36</v>
      </c>
      <c r="G282" s="2" t="s">
        <v>64</v>
      </c>
      <c r="H282" s="2" t="s">
        <v>127</v>
      </c>
      <c r="I282" s="2" t="s">
        <v>479</v>
      </c>
      <c r="J282" s="5">
        <v>1</v>
      </c>
      <c r="K282" s="6">
        <v>4300</v>
      </c>
      <c r="L282" s="6">
        <f t="shared" si="12"/>
        <v>4300</v>
      </c>
      <c r="M282" s="7">
        <v>0.17599999999999999</v>
      </c>
      <c r="N282" s="6">
        <f t="shared" si="13"/>
        <v>756.8</v>
      </c>
      <c r="O282" s="6">
        <f t="shared" si="14"/>
        <v>3543.2</v>
      </c>
    </row>
    <row r="283" spans="1:15">
      <c r="A283" s="8" t="s">
        <v>480</v>
      </c>
      <c r="B283" s="9">
        <v>45473</v>
      </c>
      <c r="C283" s="10">
        <v>2024</v>
      </c>
      <c r="D283" s="8" t="s">
        <v>100</v>
      </c>
      <c r="E283" s="8" t="s">
        <v>24</v>
      </c>
      <c r="F283" s="8" t="s">
        <v>25</v>
      </c>
      <c r="G283" s="8" t="s">
        <v>44</v>
      </c>
      <c r="H283" s="8" t="s">
        <v>223</v>
      </c>
      <c r="I283" s="8" t="s">
        <v>297</v>
      </c>
      <c r="J283" s="11">
        <v>1</v>
      </c>
      <c r="K283" s="12">
        <v>650</v>
      </c>
      <c r="L283" s="12">
        <f t="shared" si="12"/>
        <v>650</v>
      </c>
      <c r="M283" s="13">
        <v>0</v>
      </c>
      <c r="N283" s="12">
        <f t="shared" si="13"/>
        <v>0</v>
      </c>
      <c r="O283" s="12">
        <f t="shared" si="14"/>
        <v>650</v>
      </c>
    </row>
    <row r="284" spans="1:15">
      <c r="A284" s="2" t="s">
        <v>481</v>
      </c>
      <c r="B284" s="3">
        <v>45649</v>
      </c>
      <c r="C284" s="4">
        <v>2024</v>
      </c>
      <c r="D284" s="2" t="s">
        <v>16</v>
      </c>
      <c r="E284" s="2" t="s">
        <v>24</v>
      </c>
      <c r="F284" s="2" t="s">
        <v>25</v>
      </c>
      <c r="G284" s="2" t="s">
        <v>44</v>
      </c>
      <c r="H284" s="2" t="s">
        <v>45</v>
      </c>
      <c r="I284" s="2" t="s">
        <v>307</v>
      </c>
      <c r="J284" s="5">
        <v>1</v>
      </c>
      <c r="K284" s="6">
        <v>170</v>
      </c>
      <c r="L284" s="6">
        <f t="shared" si="12"/>
        <v>170</v>
      </c>
      <c r="M284" s="7">
        <v>6.5000000000000002E-2</v>
      </c>
      <c r="N284" s="6">
        <f t="shared" si="13"/>
        <v>11.05</v>
      </c>
      <c r="O284" s="6">
        <f t="shared" si="14"/>
        <v>158.94999999999999</v>
      </c>
    </row>
    <row r="285" spans="1:15">
      <c r="A285" s="8" t="s">
        <v>482</v>
      </c>
      <c r="B285" s="9">
        <v>45155</v>
      </c>
      <c r="C285" s="10">
        <v>2023</v>
      </c>
      <c r="D285" s="8" t="s">
        <v>52</v>
      </c>
      <c r="E285" s="8" t="s">
        <v>24</v>
      </c>
      <c r="F285" s="8" t="s">
        <v>25</v>
      </c>
      <c r="G285" s="8" t="s">
        <v>44</v>
      </c>
      <c r="H285" s="8" t="s">
        <v>223</v>
      </c>
      <c r="I285" s="8" t="s">
        <v>224</v>
      </c>
      <c r="J285" s="11">
        <v>1</v>
      </c>
      <c r="K285" s="12">
        <v>310</v>
      </c>
      <c r="L285" s="12">
        <f t="shared" si="12"/>
        <v>310</v>
      </c>
      <c r="M285" s="13">
        <v>6.0000000000000001E-3</v>
      </c>
      <c r="N285" s="12">
        <f t="shared" si="13"/>
        <v>1.86</v>
      </c>
      <c r="O285" s="12">
        <f t="shared" si="14"/>
        <v>308.14</v>
      </c>
    </row>
    <row r="286" spans="1:15">
      <c r="A286" s="2" t="s">
        <v>483</v>
      </c>
      <c r="B286" s="3">
        <v>45127</v>
      </c>
      <c r="C286" s="4">
        <v>2023</v>
      </c>
      <c r="D286" s="2" t="s">
        <v>68</v>
      </c>
      <c r="E286" s="2" t="s">
        <v>42</v>
      </c>
      <c r="F286" s="2" t="s">
        <v>43</v>
      </c>
      <c r="G286" s="2" t="s">
        <v>64</v>
      </c>
      <c r="H286" s="2" t="s">
        <v>94</v>
      </c>
      <c r="I286" s="2" t="s">
        <v>170</v>
      </c>
      <c r="J286" s="5">
        <v>1</v>
      </c>
      <c r="K286" s="6">
        <v>1000</v>
      </c>
      <c r="L286" s="6">
        <f t="shared" si="12"/>
        <v>1000</v>
      </c>
      <c r="M286" s="7">
        <v>0</v>
      </c>
      <c r="N286" s="6">
        <f t="shared" si="13"/>
        <v>0</v>
      </c>
      <c r="O286" s="6">
        <f t="shared" si="14"/>
        <v>1000</v>
      </c>
    </row>
    <row r="287" spans="1:15">
      <c r="A287" s="8" t="s">
        <v>484</v>
      </c>
      <c r="B287" s="9">
        <v>45250</v>
      </c>
      <c r="C287" s="10">
        <v>2023</v>
      </c>
      <c r="D287" s="8" t="s">
        <v>41</v>
      </c>
      <c r="E287" s="8" t="s">
        <v>17</v>
      </c>
      <c r="F287" s="8" t="s">
        <v>18</v>
      </c>
      <c r="G287" s="8" t="s">
        <v>53</v>
      </c>
      <c r="H287" s="8" t="s">
        <v>193</v>
      </c>
      <c r="I287" s="8" t="s">
        <v>194</v>
      </c>
      <c r="J287" s="11">
        <v>2</v>
      </c>
      <c r="K287" s="12">
        <v>4200</v>
      </c>
      <c r="L287" s="12">
        <f t="shared" si="12"/>
        <v>8400</v>
      </c>
      <c r="M287" s="13">
        <v>0.114</v>
      </c>
      <c r="N287" s="12">
        <f t="shared" si="13"/>
        <v>957.6</v>
      </c>
      <c r="O287" s="12">
        <f t="shared" si="14"/>
        <v>7442.4</v>
      </c>
    </row>
    <row r="288" spans="1:15">
      <c r="A288" s="2" t="s">
        <v>485</v>
      </c>
      <c r="B288" s="3">
        <v>45502</v>
      </c>
      <c r="C288" s="4">
        <v>2024</v>
      </c>
      <c r="D288" s="2" t="s">
        <v>68</v>
      </c>
      <c r="E288" s="2" t="s">
        <v>17</v>
      </c>
      <c r="F288" s="2" t="s">
        <v>18</v>
      </c>
      <c r="G288" s="2" t="s">
        <v>37</v>
      </c>
      <c r="H288" s="2" t="s">
        <v>38</v>
      </c>
      <c r="I288" s="2" t="s">
        <v>403</v>
      </c>
      <c r="J288" s="5">
        <v>3</v>
      </c>
      <c r="K288" s="6">
        <v>1050</v>
      </c>
      <c r="L288" s="6">
        <f t="shared" si="12"/>
        <v>3150</v>
      </c>
      <c r="M288" s="7">
        <v>0</v>
      </c>
      <c r="N288" s="6">
        <f t="shared" si="13"/>
        <v>0</v>
      </c>
      <c r="O288" s="6">
        <f t="shared" si="14"/>
        <v>3150</v>
      </c>
    </row>
    <row r="289" spans="1:15">
      <c r="A289" s="8" t="s">
        <v>486</v>
      </c>
      <c r="B289" s="9">
        <v>45860</v>
      </c>
      <c r="C289" s="10">
        <v>2025</v>
      </c>
      <c r="D289" s="8" t="s">
        <v>68</v>
      </c>
      <c r="E289" s="8" t="s">
        <v>35</v>
      </c>
      <c r="F289" s="8" t="s">
        <v>36</v>
      </c>
      <c r="G289" s="8" t="s">
        <v>44</v>
      </c>
      <c r="H289" s="8" t="s">
        <v>61</v>
      </c>
      <c r="I289" s="8" t="s">
        <v>348</v>
      </c>
      <c r="J289" s="11">
        <v>2</v>
      </c>
      <c r="K289" s="12">
        <v>1650</v>
      </c>
      <c r="L289" s="12">
        <f t="shared" si="12"/>
        <v>3300</v>
      </c>
      <c r="M289" s="13">
        <v>0</v>
      </c>
      <c r="N289" s="12">
        <f t="shared" si="13"/>
        <v>0</v>
      </c>
      <c r="O289" s="12">
        <f t="shared" si="14"/>
        <v>3300</v>
      </c>
    </row>
    <row r="290" spans="1:15">
      <c r="A290" s="2" t="s">
        <v>487</v>
      </c>
      <c r="B290" s="3">
        <v>45352</v>
      </c>
      <c r="C290" s="4">
        <v>2024</v>
      </c>
      <c r="D290" s="2" t="s">
        <v>78</v>
      </c>
      <c r="E290" s="2" t="s">
        <v>24</v>
      </c>
      <c r="F290" s="2" t="s">
        <v>25</v>
      </c>
      <c r="G290" s="2" t="s">
        <v>31</v>
      </c>
      <c r="H290" s="2" t="s">
        <v>84</v>
      </c>
      <c r="I290" s="2" t="s">
        <v>448</v>
      </c>
      <c r="J290" s="5">
        <v>6</v>
      </c>
      <c r="K290" s="6">
        <v>1050</v>
      </c>
      <c r="L290" s="6">
        <f t="shared" si="12"/>
        <v>6300</v>
      </c>
      <c r="M290" s="7">
        <v>0</v>
      </c>
      <c r="N290" s="6">
        <f t="shared" si="13"/>
        <v>0</v>
      </c>
      <c r="O290" s="6">
        <f t="shared" si="14"/>
        <v>6300</v>
      </c>
    </row>
    <row r="291" spans="1:15">
      <c r="A291" s="8" t="s">
        <v>488</v>
      </c>
      <c r="B291" s="9">
        <v>45663</v>
      </c>
      <c r="C291" s="10">
        <v>2025</v>
      </c>
      <c r="D291" s="8" t="s">
        <v>169</v>
      </c>
      <c r="E291" s="8" t="s">
        <v>35</v>
      </c>
      <c r="F291" s="8" t="s">
        <v>36</v>
      </c>
      <c r="G291" s="8" t="s">
        <v>26</v>
      </c>
      <c r="H291" s="8" t="s">
        <v>113</v>
      </c>
      <c r="I291" s="8" t="s">
        <v>114</v>
      </c>
      <c r="J291" s="11">
        <v>2</v>
      </c>
      <c r="K291" s="12">
        <v>54500</v>
      </c>
      <c r="L291" s="12">
        <f t="shared" si="12"/>
        <v>109000</v>
      </c>
      <c r="M291" s="13">
        <v>0</v>
      </c>
      <c r="N291" s="12">
        <f t="shared" si="13"/>
        <v>0</v>
      </c>
      <c r="O291" s="12">
        <f t="shared" si="14"/>
        <v>109000</v>
      </c>
    </row>
    <row r="292" spans="1:15">
      <c r="A292" s="2" t="s">
        <v>489</v>
      </c>
      <c r="B292" s="3">
        <v>45698</v>
      </c>
      <c r="C292" s="4">
        <v>2025</v>
      </c>
      <c r="D292" s="2" t="s">
        <v>23</v>
      </c>
      <c r="E292" s="2" t="s">
        <v>42</v>
      </c>
      <c r="F292" s="2" t="s">
        <v>43</v>
      </c>
      <c r="G292" s="2" t="s">
        <v>19</v>
      </c>
      <c r="H292" s="2" t="s">
        <v>69</v>
      </c>
      <c r="I292" s="2" t="s">
        <v>407</v>
      </c>
      <c r="J292" s="5">
        <v>6</v>
      </c>
      <c r="K292" s="6">
        <v>1950</v>
      </c>
      <c r="L292" s="6">
        <f t="shared" si="12"/>
        <v>11700</v>
      </c>
      <c r="M292" s="7">
        <v>0</v>
      </c>
      <c r="N292" s="6">
        <f t="shared" si="13"/>
        <v>0</v>
      </c>
      <c r="O292" s="6">
        <f t="shared" si="14"/>
        <v>11700</v>
      </c>
    </row>
    <row r="293" spans="1:15">
      <c r="A293" s="8" t="s">
        <v>490</v>
      </c>
      <c r="B293" s="9">
        <v>45087</v>
      </c>
      <c r="C293" s="10">
        <v>2023</v>
      </c>
      <c r="D293" s="8" t="s">
        <v>100</v>
      </c>
      <c r="E293" s="8" t="s">
        <v>35</v>
      </c>
      <c r="F293" s="8" t="s">
        <v>36</v>
      </c>
      <c r="G293" s="8" t="s">
        <v>64</v>
      </c>
      <c r="H293" s="8" t="s">
        <v>97</v>
      </c>
      <c r="I293" s="8" t="s">
        <v>300</v>
      </c>
      <c r="J293" s="11">
        <v>1</v>
      </c>
      <c r="K293" s="12">
        <v>360</v>
      </c>
      <c r="L293" s="12">
        <f t="shared" si="12"/>
        <v>360</v>
      </c>
      <c r="M293" s="13">
        <v>7.4999999999999997E-2</v>
      </c>
      <c r="N293" s="12">
        <f t="shared" si="13"/>
        <v>27</v>
      </c>
      <c r="O293" s="12">
        <f t="shared" si="14"/>
        <v>333</v>
      </c>
    </row>
    <row r="294" spans="1:15">
      <c r="A294" s="2" t="s">
        <v>491</v>
      </c>
      <c r="B294" s="3">
        <v>45538</v>
      </c>
      <c r="C294" s="4">
        <v>2024</v>
      </c>
      <c r="D294" s="2" t="s">
        <v>123</v>
      </c>
      <c r="E294" s="2" t="s">
        <v>24</v>
      </c>
      <c r="F294" s="2" t="s">
        <v>25</v>
      </c>
      <c r="G294" s="2" t="s">
        <v>19</v>
      </c>
      <c r="H294" s="2" t="s">
        <v>107</v>
      </c>
      <c r="I294" s="2" t="s">
        <v>221</v>
      </c>
      <c r="J294" s="5">
        <v>2</v>
      </c>
      <c r="K294" s="6">
        <v>850</v>
      </c>
      <c r="L294" s="6">
        <f t="shared" si="12"/>
        <v>1700</v>
      </c>
      <c r="M294" s="7">
        <v>3.7999999999999999E-2</v>
      </c>
      <c r="N294" s="6">
        <f t="shared" si="13"/>
        <v>64.599999999999994</v>
      </c>
      <c r="O294" s="6">
        <f t="shared" si="14"/>
        <v>1635.4</v>
      </c>
    </row>
    <row r="295" spans="1:15">
      <c r="A295" s="8" t="s">
        <v>492</v>
      </c>
      <c r="B295" s="9">
        <v>45219</v>
      </c>
      <c r="C295" s="10">
        <v>2023</v>
      </c>
      <c r="D295" s="8" t="s">
        <v>72</v>
      </c>
      <c r="E295" s="8" t="s">
        <v>17</v>
      </c>
      <c r="F295" s="8" t="s">
        <v>18</v>
      </c>
      <c r="G295" s="8" t="s">
        <v>44</v>
      </c>
      <c r="H295" s="8" t="s">
        <v>61</v>
      </c>
      <c r="I295" s="8" t="s">
        <v>348</v>
      </c>
      <c r="J295" s="11">
        <v>4</v>
      </c>
      <c r="K295" s="12">
        <v>1250</v>
      </c>
      <c r="L295" s="12">
        <f t="shared" si="12"/>
        <v>5000</v>
      </c>
      <c r="M295" s="13">
        <v>0</v>
      </c>
      <c r="N295" s="12">
        <f t="shared" si="13"/>
        <v>0</v>
      </c>
      <c r="O295" s="12">
        <f t="shared" si="14"/>
        <v>5000</v>
      </c>
    </row>
    <row r="296" spans="1:15">
      <c r="A296" s="2" t="s">
        <v>493</v>
      </c>
      <c r="B296" s="3">
        <v>45449</v>
      </c>
      <c r="C296" s="4">
        <v>2024</v>
      </c>
      <c r="D296" s="2" t="s">
        <v>100</v>
      </c>
      <c r="E296" s="2" t="s">
        <v>24</v>
      </c>
      <c r="F296" s="2" t="s">
        <v>25</v>
      </c>
      <c r="G296" s="2" t="s">
        <v>26</v>
      </c>
      <c r="H296" s="2" t="s">
        <v>101</v>
      </c>
      <c r="I296" s="2" t="s">
        <v>102</v>
      </c>
      <c r="J296" s="5">
        <v>2</v>
      </c>
      <c r="K296" s="6">
        <v>29500</v>
      </c>
      <c r="L296" s="6">
        <f t="shared" si="12"/>
        <v>59000</v>
      </c>
      <c r="M296" s="7">
        <v>6.5000000000000002E-2</v>
      </c>
      <c r="N296" s="6">
        <f t="shared" si="13"/>
        <v>3835</v>
      </c>
      <c r="O296" s="6">
        <f t="shared" si="14"/>
        <v>55165</v>
      </c>
    </row>
    <row r="297" spans="1:15">
      <c r="A297" s="8" t="s">
        <v>494</v>
      </c>
      <c r="B297" s="9">
        <v>45127</v>
      </c>
      <c r="C297" s="10">
        <v>2023</v>
      </c>
      <c r="D297" s="8" t="s">
        <v>68</v>
      </c>
      <c r="E297" s="8" t="s">
        <v>35</v>
      </c>
      <c r="F297" s="8" t="s">
        <v>36</v>
      </c>
      <c r="G297" s="8" t="s">
        <v>64</v>
      </c>
      <c r="H297" s="8" t="s">
        <v>94</v>
      </c>
      <c r="I297" s="8" t="s">
        <v>170</v>
      </c>
      <c r="J297" s="11">
        <v>2</v>
      </c>
      <c r="K297" s="12">
        <v>4200</v>
      </c>
      <c r="L297" s="12">
        <f t="shared" si="12"/>
        <v>8400</v>
      </c>
      <c r="M297" s="13">
        <v>0</v>
      </c>
      <c r="N297" s="12">
        <f t="shared" si="13"/>
        <v>0</v>
      </c>
      <c r="O297" s="12">
        <f t="shared" si="14"/>
        <v>8400</v>
      </c>
    </row>
    <row r="298" spans="1:15">
      <c r="A298" s="2" t="s">
        <v>495</v>
      </c>
      <c r="B298" s="3">
        <v>45588</v>
      </c>
      <c r="C298" s="4">
        <v>2024</v>
      </c>
      <c r="D298" s="2" t="s">
        <v>72</v>
      </c>
      <c r="E298" s="2" t="s">
        <v>17</v>
      </c>
      <c r="F298" s="2" t="s">
        <v>18</v>
      </c>
      <c r="G298" s="2" t="s">
        <v>57</v>
      </c>
      <c r="H298" s="2" t="s">
        <v>200</v>
      </c>
      <c r="I298" s="2" t="s">
        <v>305</v>
      </c>
      <c r="J298" s="5">
        <v>1</v>
      </c>
      <c r="K298" s="6">
        <v>2200</v>
      </c>
      <c r="L298" s="6">
        <f t="shared" si="12"/>
        <v>2200</v>
      </c>
      <c r="M298" s="7">
        <v>0</v>
      </c>
      <c r="N298" s="6">
        <f t="shared" si="13"/>
        <v>0</v>
      </c>
      <c r="O298" s="6">
        <f t="shared" si="14"/>
        <v>2200</v>
      </c>
    </row>
    <row r="299" spans="1:15">
      <c r="A299" s="8" t="s">
        <v>496</v>
      </c>
      <c r="B299" s="9">
        <v>45164</v>
      </c>
      <c r="C299" s="10">
        <v>2023</v>
      </c>
      <c r="D299" s="8" t="s">
        <v>52</v>
      </c>
      <c r="E299" s="8" t="s">
        <v>24</v>
      </c>
      <c r="F299" s="8" t="s">
        <v>25</v>
      </c>
      <c r="G299" s="8" t="s">
        <v>31</v>
      </c>
      <c r="H299" s="8" t="s">
        <v>81</v>
      </c>
      <c r="I299" s="8" t="s">
        <v>181</v>
      </c>
      <c r="J299" s="11">
        <v>8</v>
      </c>
      <c r="K299" s="12">
        <v>600</v>
      </c>
      <c r="L299" s="12">
        <f t="shared" si="12"/>
        <v>4800</v>
      </c>
      <c r="M299" s="13">
        <v>0</v>
      </c>
      <c r="N299" s="12">
        <f t="shared" si="13"/>
        <v>0</v>
      </c>
      <c r="O299" s="12">
        <f t="shared" si="14"/>
        <v>4800</v>
      </c>
    </row>
    <row r="300" spans="1:15">
      <c r="A300" s="2" t="s">
        <v>497</v>
      </c>
      <c r="B300" s="3">
        <v>45584</v>
      </c>
      <c r="C300" s="4">
        <v>2024</v>
      </c>
      <c r="D300" s="2" t="s">
        <v>72</v>
      </c>
      <c r="E300" s="2" t="s">
        <v>17</v>
      </c>
      <c r="F300" s="2" t="s">
        <v>18</v>
      </c>
      <c r="G300" s="2" t="s">
        <v>57</v>
      </c>
      <c r="H300" s="2" t="s">
        <v>131</v>
      </c>
      <c r="I300" s="2" t="s">
        <v>132</v>
      </c>
      <c r="J300" s="5">
        <v>1</v>
      </c>
      <c r="K300" s="6">
        <v>5500</v>
      </c>
      <c r="L300" s="6">
        <f t="shared" si="12"/>
        <v>5500</v>
      </c>
      <c r="M300" s="7">
        <v>0</v>
      </c>
      <c r="N300" s="6">
        <f t="shared" si="13"/>
        <v>0</v>
      </c>
      <c r="O300" s="6">
        <f t="shared" si="14"/>
        <v>5500</v>
      </c>
    </row>
    <row r="301" spans="1:15">
      <c r="A301" s="8" t="s">
        <v>498</v>
      </c>
      <c r="B301" s="9">
        <v>45027</v>
      </c>
      <c r="C301" s="10">
        <v>2023</v>
      </c>
      <c r="D301" s="8" t="s">
        <v>30</v>
      </c>
      <c r="E301" s="8" t="s">
        <v>42</v>
      </c>
      <c r="F301" s="8" t="s">
        <v>43</v>
      </c>
      <c r="G301" s="8" t="s">
        <v>57</v>
      </c>
      <c r="H301" s="8" t="s">
        <v>75</v>
      </c>
      <c r="I301" s="8" t="s">
        <v>499</v>
      </c>
      <c r="J301" s="11">
        <v>4</v>
      </c>
      <c r="K301" s="12">
        <v>3750</v>
      </c>
      <c r="L301" s="12">
        <f t="shared" si="12"/>
        <v>15000</v>
      </c>
      <c r="M301" s="13">
        <v>0</v>
      </c>
      <c r="N301" s="12">
        <f t="shared" si="13"/>
        <v>0</v>
      </c>
      <c r="O301" s="12">
        <f t="shared" si="14"/>
        <v>15000</v>
      </c>
    </row>
    <row r="302" spans="1:15">
      <c r="A302" s="2" t="s">
        <v>500</v>
      </c>
      <c r="B302" s="3">
        <v>45059</v>
      </c>
      <c r="C302" s="4">
        <v>2023</v>
      </c>
      <c r="D302" s="2" t="s">
        <v>48</v>
      </c>
      <c r="E302" s="2" t="s">
        <v>35</v>
      </c>
      <c r="F302" s="2" t="s">
        <v>36</v>
      </c>
      <c r="G302" s="2" t="s">
        <v>64</v>
      </c>
      <c r="H302" s="2" t="s">
        <v>127</v>
      </c>
      <c r="I302" s="2" t="s">
        <v>255</v>
      </c>
      <c r="J302" s="5">
        <v>1</v>
      </c>
      <c r="K302" s="6">
        <v>370</v>
      </c>
      <c r="L302" s="6">
        <f t="shared" si="12"/>
        <v>370</v>
      </c>
      <c r="M302" s="7">
        <v>0.215</v>
      </c>
      <c r="N302" s="6">
        <f t="shared" si="13"/>
        <v>79.55</v>
      </c>
      <c r="O302" s="6">
        <f t="shared" si="14"/>
        <v>290.45</v>
      </c>
    </row>
    <row r="303" spans="1:15">
      <c r="A303" s="8" t="s">
        <v>501</v>
      </c>
      <c r="B303" s="9">
        <v>45262</v>
      </c>
      <c r="C303" s="10">
        <v>2023</v>
      </c>
      <c r="D303" s="8" t="s">
        <v>16</v>
      </c>
      <c r="E303" s="8" t="s">
        <v>42</v>
      </c>
      <c r="F303" s="8" t="s">
        <v>43</v>
      </c>
      <c r="G303" s="8" t="s">
        <v>64</v>
      </c>
      <c r="H303" s="8" t="s">
        <v>127</v>
      </c>
      <c r="I303" s="8" t="s">
        <v>479</v>
      </c>
      <c r="J303" s="11">
        <v>1</v>
      </c>
      <c r="K303" s="12">
        <v>3650</v>
      </c>
      <c r="L303" s="12">
        <f t="shared" si="12"/>
        <v>3650</v>
      </c>
      <c r="M303" s="13">
        <v>0</v>
      </c>
      <c r="N303" s="12">
        <f t="shared" si="13"/>
        <v>0</v>
      </c>
      <c r="O303" s="12">
        <f t="shared" si="14"/>
        <v>3650</v>
      </c>
    </row>
    <row r="304" spans="1:15">
      <c r="A304" s="2" t="s">
        <v>502</v>
      </c>
      <c r="B304" s="3">
        <v>45042</v>
      </c>
      <c r="C304" s="4">
        <v>2023</v>
      </c>
      <c r="D304" s="2" t="s">
        <v>30</v>
      </c>
      <c r="E304" s="2" t="s">
        <v>35</v>
      </c>
      <c r="F304" s="2" t="s">
        <v>36</v>
      </c>
      <c r="G304" s="2" t="s">
        <v>57</v>
      </c>
      <c r="H304" s="2" t="s">
        <v>200</v>
      </c>
      <c r="I304" s="2" t="s">
        <v>425</v>
      </c>
      <c r="J304" s="5">
        <v>1</v>
      </c>
      <c r="K304" s="6">
        <v>3550</v>
      </c>
      <c r="L304" s="6">
        <f t="shared" si="12"/>
        <v>3550</v>
      </c>
      <c r="M304" s="7">
        <v>0</v>
      </c>
      <c r="N304" s="6">
        <f t="shared" si="13"/>
        <v>0</v>
      </c>
      <c r="O304" s="6">
        <f t="shared" si="14"/>
        <v>3550</v>
      </c>
    </row>
    <row r="305" spans="1:15">
      <c r="A305" s="8" t="s">
        <v>503</v>
      </c>
      <c r="B305" s="9">
        <v>45468</v>
      </c>
      <c r="C305" s="10">
        <v>2024</v>
      </c>
      <c r="D305" s="8" t="s">
        <v>100</v>
      </c>
      <c r="E305" s="8" t="s">
        <v>42</v>
      </c>
      <c r="F305" s="8" t="s">
        <v>43</v>
      </c>
      <c r="G305" s="8" t="s">
        <v>31</v>
      </c>
      <c r="H305" s="8" t="s">
        <v>81</v>
      </c>
      <c r="I305" s="8" t="s">
        <v>181</v>
      </c>
      <c r="J305" s="11">
        <v>1</v>
      </c>
      <c r="K305" s="12">
        <v>180</v>
      </c>
      <c r="L305" s="12">
        <f t="shared" si="12"/>
        <v>180</v>
      </c>
      <c r="M305" s="13">
        <v>4.9000000000000002E-2</v>
      </c>
      <c r="N305" s="12">
        <f t="shared" si="13"/>
        <v>8.82</v>
      </c>
      <c r="O305" s="12">
        <f t="shared" si="14"/>
        <v>171.18</v>
      </c>
    </row>
    <row r="306" spans="1:15">
      <c r="A306" s="2" t="s">
        <v>504</v>
      </c>
      <c r="B306" s="3">
        <v>45799</v>
      </c>
      <c r="C306" s="4">
        <v>2025</v>
      </c>
      <c r="D306" s="2" t="s">
        <v>48</v>
      </c>
      <c r="E306" s="2" t="s">
        <v>17</v>
      </c>
      <c r="F306" s="2" t="s">
        <v>18</v>
      </c>
      <c r="G306" s="2" t="s">
        <v>44</v>
      </c>
      <c r="H306" s="2" t="s">
        <v>45</v>
      </c>
      <c r="I306" s="2" t="s">
        <v>46</v>
      </c>
      <c r="J306" s="5">
        <v>3</v>
      </c>
      <c r="K306" s="6">
        <v>1500</v>
      </c>
      <c r="L306" s="6">
        <f t="shared" si="12"/>
        <v>4500</v>
      </c>
      <c r="M306" s="7">
        <v>0</v>
      </c>
      <c r="N306" s="6">
        <f t="shared" si="13"/>
        <v>0</v>
      </c>
      <c r="O306" s="6">
        <f t="shared" si="14"/>
        <v>4500</v>
      </c>
    </row>
    <row r="307" spans="1:15">
      <c r="A307" s="8" t="s">
        <v>505</v>
      </c>
      <c r="B307" s="9">
        <v>45363</v>
      </c>
      <c r="C307" s="10">
        <v>2024</v>
      </c>
      <c r="D307" s="8" t="s">
        <v>78</v>
      </c>
      <c r="E307" s="8" t="s">
        <v>17</v>
      </c>
      <c r="F307" s="8" t="s">
        <v>18</v>
      </c>
      <c r="G307" s="8" t="s">
        <v>64</v>
      </c>
      <c r="H307" s="8" t="s">
        <v>97</v>
      </c>
      <c r="I307" s="8" t="s">
        <v>134</v>
      </c>
      <c r="J307" s="11">
        <v>1</v>
      </c>
      <c r="K307" s="12">
        <v>550</v>
      </c>
      <c r="L307" s="12">
        <f t="shared" si="12"/>
        <v>550</v>
      </c>
      <c r="M307" s="13">
        <v>0</v>
      </c>
      <c r="N307" s="12">
        <f t="shared" si="13"/>
        <v>0</v>
      </c>
      <c r="O307" s="12">
        <f t="shared" si="14"/>
        <v>550</v>
      </c>
    </row>
    <row r="308" spans="1:15">
      <c r="A308" s="2" t="s">
        <v>506</v>
      </c>
      <c r="B308" s="3">
        <v>45465</v>
      </c>
      <c r="C308" s="4">
        <v>2024</v>
      </c>
      <c r="D308" s="2" t="s">
        <v>100</v>
      </c>
      <c r="E308" s="2" t="s">
        <v>35</v>
      </c>
      <c r="F308" s="2" t="s">
        <v>36</v>
      </c>
      <c r="G308" s="2" t="s">
        <v>19</v>
      </c>
      <c r="H308" s="2" t="s">
        <v>141</v>
      </c>
      <c r="I308" s="2" t="s">
        <v>278</v>
      </c>
      <c r="J308" s="5">
        <v>2</v>
      </c>
      <c r="K308" s="6">
        <v>1450</v>
      </c>
      <c r="L308" s="6">
        <f t="shared" si="12"/>
        <v>2900</v>
      </c>
      <c r="M308" s="7">
        <v>0</v>
      </c>
      <c r="N308" s="6">
        <f t="shared" si="13"/>
        <v>0</v>
      </c>
      <c r="O308" s="6">
        <f t="shared" si="14"/>
        <v>2900</v>
      </c>
    </row>
    <row r="309" spans="1:15">
      <c r="A309" s="8" t="s">
        <v>507</v>
      </c>
      <c r="B309" s="9">
        <v>45045</v>
      </c>
      <c r="C309" s="10">
        <v>2023</v>
      </c>
      <c r="D309" s="8" t="s">
        <v>30</v>
      </c>
      <c r="E309" s="8" t="s">
        <v>42</v>
      </c>
      <c r="F309" s="8" t="s">
        <v>43</v>
      </c>
      <c r="G309" s="8" t="s">
        <v>31</v>
      </c>
      <c r="H309" s="8" t="s">
        <v>124</v>
      </c>
      <c r="I309" s="8" t="s">
        <v>508</v>
      </c>
      <c r="J309" s="11">
        <v>2</v>
      </c>
      <c r="K309" s="12">
        <v>420</v>
      </c>
      <c r="L309" s="12">
        <f t="shared" si="12"/>
        <v>840</v>
      </c>
      <c r="M309" s="13">
        <v>0</v>
      </c>
      <c r="N309" s="12">
        <f t="shared" si="13"/>
        <v>0</v>
      </c>
      <c r="O309" s="12">
        <f t="shared" si="14"/>
        <v>840</v>
      </c>
    </row>
    <row r="310" spans="1:15">
      <c r="A310" s="2" t="s">
        <v>509</v>
      </c>
      <c r="B310" s="3">
        <v>45379</v>
      </c>
      <c r="C310" s="4">
        <v>2024</v>
      </c>
      <c r="D310" s="2" t="s">
        <v>78</v>
      </c>
      <c r="E310" s="2" t="s">
        <v>24</v>
      </c>
      <c r="F310" s="2" t="s">
        <v>25</v>
      </c>
      <c r="G310" s="2" t="s">
        <v>31</v>
      </c>
      <c r="H310" s="2" t="s">
        <v>32</v>
      </c>
      <c r="I310" s="2" t="s">
        <v>276</v>
      </c>
      <c r="J310" s="5">
        <v>10</v>
      </c>
      <c r="K310" s="6">
        <v>1150</v>
      </c>
      <c r="L310" s="6">
        <f t="shared" si="12"/>
        <v>11500</v>
      </c>
      <c r="M310" s="7">
        <v>3.5999999999999997E-2</v>
      </c>
      <c r="N310" s="6">
        <f t="shared" si="13"/>
        <v>413.99999999999994</v>
      </c>
      <c r="O310" s="6">
        <f t="shared" si="14"/>
        <v>11086</v>
      </c>
    </row>
    <row r="311" spans="1:15">
      <c r="A311" s="8" t="s">
        <v>510</v>
      </c>
      <c r="B311" s="9">
        <v>45967</v>
      </c>
      <c r="C311" s="10">
        <v>2025</v>
      </c>
      <c r="D311" s="8" t="s">
        <v>41</v>
      </c>
      <c r="E311" s="8" t="s">
        <v>17</v>
      </c>
      <c r="F311" s="8" t="s">
        <v>18</v>
      </c>
      <c r="G311" s="8" t="s">
        <v>26</v>
      </c>
      <c r="H311" s="8" t="s">
        <v>101</v>
      </c>
      <c r="I311" s="8" t="s">
        <v>235</v>
      </c>
      <c r="J311" s="11">
        <v>1</v>
      </c>
      <c r="K311" s="12">
        <v>3800</v>
      </c>
      <c r="L311" s="12">
        <f t="shared" si="12"/>
        <v>3800</v>
      </c>
      <c r="M311" s="13">
        <v>0</v>
      </c>
      <c r="N311" s="12">
        <f t="shared" si="13"/>
        <v>0</v>
      </c>
      <c r="O311" s="12">
        <f t="shared" si="14"/>
        <v>3800</v>
      </c>
    </row>
    <row r="312" spans="1:15">
      <c r="A312" s="2" t="s">
        <v>511</v>
      </c>
      <c r="B312" s="3">
        <v>45014</v>
      </c>
      <c r="C312" s="4">
        <v>2023</v>
      </c>
      <c r="D312" s="2" t="s">
        <v>78</v>
      </c>
      <c r="E312" s="2" t="s">
        <v>42</v>
      </c>
      <c r="F312" s="2" t="s">
        <v>43</v>
      </c>
      <c r="G312" s="2" t="s">
        <v>19</v>
      </c>
      <c r="H312" s="2" t="s">
        <v>20</v>
      </c>
      <c r="I312" s="2" t="s">
        <v>120</v>
      </c>
      <c r="J312" s="5">
        <v>4</v>
      </c>
      <c r="K312" s="6">
        <v>1750</v>
      </c>
      <c r="L312" s="6">
        <f t="shared" si="12"/>
        <v>7000</v>
      </c>
      <c r="M312" s="7">
        <v>0</v>
      </c>
      <c r="N312" s="6">
        <f t="shared" si="13"/>
        <v>0</v>
      </c>
      <c r="O312" s="6">
        <f t="shared" si="14"/>
        <v>7000</v>
      </c>
    </row>
    <row r="313" spans="1:15">
      <c r="A313" s="8" t="s">
        <v>512</v>
      </c>
      <c r="B313" s="9">
        <v>45829</v>
      </c>
      <c r="C313" s="10">
        <v>2025</v>
      </c>
      <c r="D313" s="8" t="s">
        <v>100</v>
      </c>
      <c r="E313" s="8" t="s">
        <v>35</v>
      </c>
      <c r="F313" s="8" t="s">
        <v>36</v>
      </c>
      <c r="G313" s="8" t="s">
        <v>19</v>
      </c>
      <c r="H313" s="8" t="s">
        <v>116</v>
      </c>
      <c r="I313" s="8" t="s">
        <v>139</v>
      </c>
      <c r="J313" s="11">
        <v>2</v>
      </c>
      <c r="K313" s="12">
        <v>2150</v>
      </c>
      <c r="L313" s="12">
        <f t="shared" si="12"/>
        <v>4300</v>
      </c>
      <c r="M313" s="13">
        <v>0</v>
      </c>
      <c r="N313" s="12">
        <f t="shared" si="13"/>
        <v>0</v>
      </c>
      <c r="O313" s="12">
        <f t="shared" si="14"/>
        <v>4300</v>
      </c>
    </row>
    <row r="314" spans="1:15">
      <c r="A314" s="2" t="s">
        <v>513</v>
      </c>
      <c r="B314" s="3">
        <v>45778</v>
      </c>
      <c r="C314" s="4">
        <v>2025</v>
      </c>
      <c r="D314" s="2" t="s">
        <v>48</v>
      </c>
      <c r="E314" s="2" t="s">
        <v>42</v>
      </c>
      <c r="F314" s="2" t="s">
        <v>43</v>
      </c>
      <c r="G314" s="2" t="s">
        <v>57</v>
      </c>
      <c r="H314" s="2" t="s">
        <v>200</v>
      </c>
      <c r="I314" s="2" t="s">
        <v>201</v>
      </c>
      <c r="J314" s="5">
        <v>1</v>
      </c>
      <c r="K314" s="6">
        <v>5000</v>
      </c>
      <c r="L314" s="6">
        <f t="shared" si="12"/>
        <v>5000</v>
      </c>
      <c r="M314" s="7">
        <v>0.14499999999999999</v>
      </c>
      <c r="N314" s="6">
        <f t="shared" si="13"/>
        <v>725</v>
      </c>
      <c r="O314" s="6">
        <f t="shared" si="14"/>
        <v>4275</v>
      </c>
    </row>
    <row r="315" spans="1:15">
      <c r="A315" s="8" t="s">
        <v>514</v>
      </c>
      <c r="B315" s="9">
        <v>45615</v>
      </c>
      <c r="C315" s="10">
        <v>2024</v>
      </c>
      <c r="D315" s="8" t="s">
        <v>41</v>
      </c>
      <c r="E315" s="8" t="s">
        <v>17</v>
      </c>
      <c r="F315" s="8" t="s">
        <v>18</v>
      </c>
      <c r="G315" s="8" t="s">
        <v>19</v>
      </c>
      <c r="H315" s="8" t="s">
        <v>271</v>
      </c>
      <c r="I315" s="8" t="s">
        <v>515</v>
      </c>
      <c r="J315" s="11">
        <v>2</v>
      </c>
      <c r="K315" s="12">
        <v>2400</v>
      </c>
      <c r="L315" s="12">
        <f t="shared" si="12"/>
        <v>4800</v>
      </c>
      <c r="M315" s="13">
        <v>0</v>
      </c>
      <c r="N315" s="12">
        <f t="shared" si="13"/>
        <v>0</v>
      </c>
      <c r="O315" s="12">
        <f t="shared" si="14"/>
        <v>4800</v>
      </c>
    </row>
    <row r="316" spans="1:15">
      <c r="A316" s="2" t="s">
        <v>516</v>
      </c>
      <c r="B316" s="3">
        <v>45879</v>
      </c>
      <c r="C316" s="4">
        <v>2025</v>
      </c>
      <c r="D316" s="2" t="s">
        <v>52</v>
      </c>
      <c r="E316" s="2" t="s">
        <v>24</v>
      </c>
      <c r="F316" s="2" t="s">
        <v>25</v>
      </c>
      <c r="G316" s="2" t="s">
        <v>44</v>
      </c>
      <c r="H316" s="2" t="s">
        <v>223</v>
      </c>
      <c r="I316" s="2" t="s">
        <v>297</v>
      </c>
      <c r="J316" s="5">
        <v>3</v>
      </c>
      <c r="K316" s="6">
        <v>1050</v>
      </c>
      <c r="L316" s="6">
        <f t="shared" si="12"/>
        <v>3150</v>
      </c>
      <c r="M316" s="7">
        <v>0</v>
      </c>
      <c r="N316" s="6">
        <f t="shared" si="13"/>
        <v>0</v>
      </c>
      <c r="O316" s="6">
        <f t="shared" si="14"/>
        <v>3150</v>
      </c>
    </row>
    <row r="317" spans="1:15">
      <c r="A317" s="8" t="s">
        <v>517</v>
      </c>
      <c r="B317" s="9">
        <v>45329</v>
      </c>
      <c r="C317" s="10">
        <v>2024</v>
      </c>
      <c r="D317" s="8" t="s">
        <v>23</v>
      </c>
      <c r="E317" s="8" t="s">
        <v>42</v>
      </c>
      <c r="F317" s="8" t="s">
        <v>43</v>
      </c>
      <c r="G317" s="8" t="s">
        <v>31</v>
      </c>
      <c r="H317" s="8" t="s">
        <v>32</v>
      </c>
      <c r="I317" s="8" t="s">
        <v>33</v>
      </c>
      <c r="J317" s="11">
        <v>1</v>
      </c>
      <c r="K317" s="12">
        <v>900</v>
      </c>
      <c r="L317" s="12">
        <f t="shared" si="12"/>
        <v>900</v>
      </c>
      <c r="M317" s="13">
        <v>0</v>
      </c>
      <c r="N317" s="12">
        <f t="shared" si="13"/>
        <v>0</v>
      </c>
      <c r="O317" s="12">
        <f t="shared" si="14"/>
        <v>900</v>
      </c>
    </row>
    <row r="318" spans="1:15">
      <c r="A318" s="2" t="s">
        <v>518</v>
      </c>
      <c r="B318" s="3">
        <v>45238</v>
      </c>
      <c r="C318" s="4">
        <v>2023</v>
      </c>
      <c r="D318" s="2" t="s">
        <v>41</v>
      </c>
      <c r="E318" s="2" t="s">
        <v>17</v>
      </c>
      <c r="F318" s="2" t="s">
        <v>18</v>
      </c>
      <c r="G318" s="2" t="s">
        <v>64</v>
      </c>
      <c r="H318" s="2" t="s">
        <v>97</v>
      </c>
      <c r="I318" s="2" t="s">
        <v>134</v>
      </c>
      <c r="J318" s="5">
        <v>1</v>
      </c>
      <c r="K318" s="6">
        <v>2950</v>
      </c>
      <c r="L318" s="6">
        <f t="shared" si="12"/>
        <v>2950</v>
      </c>
      <c r="M318" s="7">
        <v>0</v>
      </c>
      <c r="N318" s="6">
        <f t="shared" si="13"/>
        <v>0</v>
      </c>
      <c r="O318" s="6">
        <f t="shared" si="14"/>
        <v>2950</v>
      </c>
    </row>
    <row r="319" spans="1:15">
      <c r="A319" s="8" t="s">
        <v>519</v>
      </c>
      <c r="B319" s="9">
        <v>45217</v>
      </c>
      <c r="C319" s="10">
        <v>2023</v>
      </c>
      <c r="D319" s="8" t="s">
        <v>72</v>
      </c>
      <c r="E319" s="8" t="s">
        <v>35</v>
      </c>
      <c r="F319" s="8" t="s">
        <v>36</v>
      </c>
      <c r="G319" s="8" t="s">
        <v>37</v>
      </c>
      <c r="H319" s="8" t="s">
        <v>38</v>
      </c>
      <c r="I319" s="8" t="s">
        <v>403</v>
      </c>
      <c r="J319" s="11">
        <v>3</v>
      </c>
      <c r="K319" s="12">
        <v>3900</v>
      </c>
      <c r="L319" s="12">
        <f t="shared" si="12"/>
        <v>11700</v>
      </c>
      <c r="M319" s="13">
        <v>1.7999999999999999E-2</v>
      </c>
      <c r="N319" s="12">
        <f t="shared" si="13"/>
        <v>210.6</v>
      </c>
      <c r="O319" s="12">
        <f t="shared" si="14"/>
        <v>11489.4</v>
      </c>
    </row>
    <row r="320" spans="1:15">
      <c r="A320" s="2" t="s">
        <v>520</v>
      </c>
      <c r="B320" s="3">
        <v>45224</v>
      </c>
      <c r="C320" s="4">
        <v>2023</v>
      </c>
      <c r="D320" s="2" t="s">
        <v>72</v>
      </c>
      <c r="E320" s="2" t="s">
        <v>24</v>
      </c>
      <c r="F320" s="2" t="s">
        <v>25</v>
      </c>
      <c r="G320" s="2" t="s">
        <v>44</v>
      </c>
      <c r="H320" s="2" t="s">
        <v>61</v>
      </c>
      <c r="I320" s="2" t="s">
        <v>377</v>
      </c>
      <c r="J320" s="5">
        <v>1</v>
      </c>
      <c r="K320" s="6">
        <v>1050</v>
      </c>
      <c r="L320" s="6">
        <f t="shared" si="12"/>
        <v>1050</v>
      </c>
      <c r="M320" s="7">
        <v>0</v>
      </c>
      <c r="N320" s="6">
        <f t="shared" si="13"/>
        <v>0</v>
      </c>
      <c r="O320" s="6">
        <f t="shared" si="14"/>
        <v>1050</v>
      </c>
    </row>
    <row r="321" spans="1:15">
      <c r="A321" s="8" t="s">
        <v>521</v>
      </c>
      <c r="B321" s="9">
        <v>45925</v>
      </c>
      <c r="C321" s="10">
        <v>2025</v>
      </c>
      <c r="D321" s="8" t="s">
        <v>123</v>
      </c>
      <c r="E321" s="8" t="s">
        <v>24</v>
      </c>
      <c r="F321" s="8" t="s">
        <v>25</v>
      </c>
      <c r="G321" s="8" t="s">
        <v>37</v>
      </c>
      <c r="H321" s="8" t="s">
        <v>38</v>
      </c>
      <c r="I321" s="8" t="s">
        <v>89</v>
      </c>
      <c r="J321" s="11">
        <v>3</v>
      </c>
      <c r="K321" s="12">
        <v>2500</v>
      </c>
      <c r="L321" s="12">
        <f t="shared" si="12"/>
        <v>7500</v>
      </c>
      <c r="M321" s="13">
        <v>0.105</v>
      </c>
      <c r="N321" s="12">
        <f t="shared" si="13"/>
        <v>787.5</v>
      </c>
      <c r="O321" s="12">
        <f t="shared" si="14"/>
        <v>6712.5</v>
      </c>
    </row>
    <row r="322" spans="1:15">
      <c r="A322" s="2" t="s">
        <v>522</v>
      </c>
      <c r="B322" s="3">
        <v>45715</v>
      </c>
      <c r="C322" s="4">
        <v>2025</v>
      </c>
      <c r="D322" s="2" t="s">
        <v>23</v>
      </c>
      <c r="E322" s="2" t="s">
        <v>17</v>
      </c>
      <c r="F322" s="2" t="s">
        <v>18</v>
      </c>
      <c r="G322" s="2" t="s">
        <v>44</v>
      </c>
      <c r="H322" s="2" t="s">
        <v>45</v>
      </c>
      <c r="I322" s="2" t="s">
        <v>190</v>
      </c>
      <c r="J322" s="5">
        <v>4</v>
      </c>
      <c r="K322" s="6">
        <v>450</v>
      </c>
      <c r="L322" s="6">
        <f t="shared" ref="L322:L385" si="15">J322*K322</f>
        <v>1800</v>
      </c>
      <c r="M322" s="7">
        <v>4.9000000000000002E-2</v>
      </c>
      <c r="N322" s="6">
        <f t="shared" ref="N322:N385" si="16">L322*M322</f>
        <v>88.2</v>
      </c>
      <c r="O322" s="6">
        <f t="shared" ref="O322:O385" si="17">L322-N322</f>
        <v>1711.8</v>
      </c>
    </row>
    <row r="323" spans="1:15">
      <c r="A323" s="8" t="s">
        <v>523</v>
      </c>
      <c r="B323" s="9">
        <v>45905</v>
      </c>
      <c r="C323" s="10">
        <v>2025</v>
      </c>
      <c r="D323" s="8" t="s">
        <v>123</v>
      </c>
      <c r="E323" s="8" t="s">
        <v>24</v>
      </c>
      <c r="F323" s="8" t="s">
        <v>25</v>
      </c>
      <c r="G323" s="8" t="s">
        <v>31</v>
      </c>
      <c r="H323" s="8" t="s">
        <v>124</v>
      </c>
      <c r="I323" s="8" t="s">
        <v>266</v>
      </c>
      <c r="J323" s="11">
        <v>3</v>
      </c>
      <c r="K323" s="12">
        <v>900</v>
      </c>
      <c r="L323" s="12">
        <f t="shared" si="15"/>
        <v>2700</v>
      </c>
      <c r="M323" s="13">
        <v>0</v>
      </c>
      <c r="N323" s="12">
        <f t="shared" si="16"/>
        <v>0</v>
      </c>
      <c r="O323" s="12">
        <f t="shared" si="17"/>
        <v>2700</v>
      </c>
    </row>
    <row r="324" spans="1:15">
      <c r="A324" s="2" t="s">
        <v>524</v>
      </c>
      <c r="B324" s="3">
        <v>45936</v>
      </c>
      <c r="C324" s="4">
        <v>2025</v>
      </c>
      <c r="D324" s="2" t="s">
        <v>72</v>
      </c>
      <c r="E324" s="2" t="s">
        <v>42</v>
      </c>
      <c r="F324" s="2" t="s">
        <v>43</v>
      </c>
      <c r="G324" s="2" t="s">
        <v>44</v>
      </c>
      <c r="H324" s="2" t="s">
        <v>176</v>
      </c>
      <c r="I324" s="2" t="s">
        <v>525</v>
      </c>
      <c r="J324" s="5">
        <v>2</v>
      </c>
      <c r="K324" s="6">
        <v>1000</v>
      </c>
      <c r="L324" s="6">
        <f t="shared" si="15"/>
        <v>2000</v>
      </c>
      <c r="M324" s="7">
        <v>7.4999999999999997E-2</v>
      </c>
      <c r="N324" s="6">
        <f t="shared" si="16"/>
        <v>150</v>
      </c>
      <c r="O324" s="6">
        <f t="shared" si="17"/>
        <v>1850</v>
      </c>
    </row>
    <row r="325" spans="1:15">
      <c r="A325" s="8" t="s">
        <v>526</v>
      </c>
      <c r="B325" s="9">
        <v>45216</v>
      </c>
      <c r="C325" s="10">
        <v>2023</v>
      </c>
      <c r="D325" s="8" t="s">
        <v>72</v>
      </c>
      <c r="E325" s="8" t="s">
        <v>42</v>
      </c>
      <c r="F325" s="8" t="s">
        <v>43</v>
      </c>
      <c r="G325" s="8" t="s">
        <v>37</v>
      </c>
      <c r="H325" s="8" t="s">
        <v>49</v>
      </c>
      <c r="I325" s="8" t="s">
        <v>79</v>
      </c>
      <c r="J325" s="11">
        <v>1</v>
      </c>
      <c r="K325" s="12">
        <v>600</v>
      </c>
      <c r="L325" s="12">
        <f t="shared" si="15"/>
        <v>600</v>
      </c>
      <c r="M325" s="13">
        <v>5.1999999999999998E-2</v>
      </c>
      <c r="N325" s="12">
        <f t="shared" si="16"/>
        <v>31.2</v>
      </c>
      <c r="O325" s="12">
        <f t="shared" si="17"/>
        <v>568.79999999999995</v>
      </c>
    </row>
    <row r="326" spans="1:15">
      <c r="A326" s="2" t="s">
        <v>527</v>
      </c>
      <c r="B326" s="3">
        <v>45540</v>
      </c>
      <c r="C326" s="4">
        <v>2024</v>
      </c>
      <c r="D326" s="2" t="s">
        <v>123</v>
      </c>
      <c r="E326" s="2" t="s">
        <v>24</v>
      </c>
      <c r="F326" s="2" t="s">
        <v>25</v>
      </c>
      <c r="G326" s="2" t="s">
        <v>37</v>
      </c>
      <c r="H326" s="2" t="s">
        <v>49</v>
      </c>
      <c r="I326" s="2" t="s">
        <v>50</v>
      </c>
      <c r="J326" s="5">
        <v>2</v>
      </c>
      <c r="K326" s="6">
        <v>1850</v>
      </c>
      <c r="L326" s="6">
        <f t="shared" si="15"/>
        <v>3700</v>
      </c>
      <c r="M326" s="7">
        <v>0</v>
      </c>
      <c r="N326" s="6">
        <f t="shared" si="16"/>
        <v>0</v>
      </c>
      <c r="O326" s="6">
        <f t="shared" si="17"/>
        <v>3700</v>
      </c>
    </row>
    <row r="327" spans="1:15">
      <c r="A327" s="8" t="s">
        <v>528</v>
      </c>
      <c r="B327" s="9">
        <v>45803</v>
      </c>
      <c r="C327" s="10">
        <v>2025</v>
      </c>
      <c r="D327" s="8" t="s">
        <v>48</v>
      </c>
      <c r="E327" s="8" t="s">
        <v>35</v>
      </c>
      <c r="F327" s="8" t="s">
        <v>36</v>
      </c>
      <c r="G327" s="8" t="s">
        <v>37</v>
      </c>
      <c r="H327" s="8" t="s">
        <v>91</v>
      </c>
      <c r="I327" s="8" t="s">
        <v>430</v>
      </c>
      <c r="J327" s="11">
        <v>1</v>
      </c>
      <c r="K327" s="12">
        <v>1550</v>
      </c>
      <c r="L327" s="12">
        <f t="shared" si="15"/>
        <v>1550</v>
      </c>
      <c r="M327" s="13">
        <v>0</v>
      </c>
      <c r="N327" s="12">
        <f t="shared" si="16"/>
        <v>0</v>
      </c>
      <c r="O327" s="12">
        <f t="shared" si="17"/>
        <v>1550</v>
      </c>
    </row>
    <row r="328" spans="1:15">
      <c r="A328" s="2" t="s">
        <v>529</v>
      </c>
      <c r="B328" s="3">
        <v>45512</v>
      </c>
      <c r="C328" s="4">
        <v>2024</v>
      </c>
      <c r="D328" s="2" t="s">
        <v>52</v>
      </c>
      <c r="E328" s="2" t="s">
        <v>24</v>
      </c>
      <c r="F328" s="2" t="s">
        <v>25</v>
      </c>
      <c r="G328" s="2" t="s">
        <v>31</v>
      </c>
      <c r="H328" s="2" t="s">
        <v>32</v>
      </c>
      <c r="I328" s="2" t="s">
        <v>276</v>
      </c>
      <c r="J328" s="5">
        <v>1</v>
      </c>
      <c r="K328" s="6">
        <v>1050</v>
      </c>
      <c r="L328" s="6">
        <f t="shared" si="15"/>
        <v>1050</v>
      </c>
      <c r="M328" s="7">
        <v>2.5000000000000001E-2</v>
      </c>
      <c r="N328" s="6">
        <f t="shared" si="16"/>
        <v>26.25</v>
      </c>
      <c r="O328" s="6">
        <f t="shared" si="17"/>
        <v>1023.75</v>
      </c>
    </row>
    <row r="329" spans="1:15">
      <c r="A329" s="8" t="s">
        <v>530</v>
      </c>
      <c r="B329" s="9">
        <v>45462</v>
      </c>
      <c r="C329" s="10">
        <v>2024</v>
      </c>
      <c r="D329" s="8" t="s">
        <v>100</v>
      </c>
      <c r="E329" s="8" t="s">
        <v>35</v>
      </c>
      <c r="F329" s="8" t="s">
        <v>36</v>
      </c>
      <c r="G329" s="8" t="s">
        <v>19</v>
      </c>
      <c r="H329" s="8" t="s">
        <v>141</v>
      </c>
      <c r="I329" s="8" t="s">
        <v>283</v>
      </c>
      <c r="J329" s="11">
        <v>3</v>
      </c>
      <c r="K329" s="12">
        <v>900</v>
      </c>
      <c r="L329" s="12">
        <f t="shared" si="15"/>
        <v>2700</v>
      </c>
      <c r="M329" s="13">
        <v>0</v>
      </c>
      <c r="N329" s="12">
        <f t="shared" si="16"/>
        <v>0</v>
      </c>
      <c r="O329" s="12">
        <f t="shared" si="17"/>
        <v>2700</v>
      </c>
    </row>
    <row r="330" spans="1:15">
      <c r="A330" s="2" t="s">
        <v>531</v>
      </c>
      <c r="B330" s="3">
        <v>45495</v>
      </c>
      <c r="C330" s="4">
        <v>2024</v>
      </c>
      <c r="D330" s="2" t="s">
        <v>68</v>
      </c>
      <c r="E330" s="2" t="s">
        <v>35</v>
      </c>
      <c r="F330" s="2" t="s">
        <v>36</v>
      </c>
      <c r="G330" s="2" t="s">
        <v>31</v>
      </c>
      <c r="H330" s="2" t="s">
        <v>124</v>
      </c>
      <c r="I330" s="2" t="s">
        <v>188</v>
      </c>
      <c r="J330" s="5">
        <v>3</v>
      </c>
      <c r="K330" s="6">
        <v>350</v>
      </c>
      <c r="L330" s="6">
        <f t="shared" si="15"/>
        <v>1050</v>
      </c>
      <c r="M330" s="7">
        <v>0</v>
      </c>
      <c r="N330" s="6">
        <f t="shared" si="16"/>
        <v>0</v>
      </c>
      <c r="O330" s="6">
        <f t="shared" si="17"/>
        <v>1050</v>
      </c>
    </row>
    <row r="331" spans="1:15">
      <c r="A331" s="8" t="s">
        <v>532</v>
      </c>
      <c r="B331" s="9">
        <v>45472</v>
      </c>
      <c r="C331" s="10">
        <v>2024</v>
      </c>
      <c r="D331" s="8" t="s">
        <v>100</v>
      </c>
      <c r="E331" s="8" t="s">
        <v>42</v>
      </c>
      <c r="F331" s="8" t="s">
        <v>43</v>
      </c>
      <c r="G331" s="8" t="s">
        <v>57</v>
      </c>
      <c r="H331" s="8" t="s">
        <v>200</v>
      </c>
      <c r="I331" s="8" t="s">
        <v>425</v>
      </c>
      <c r="J331" s="11">
        <v>4</v>
      </c>
      <c r="K331" s="12">
        <v>5500</v>
      </c>
      <c r="L331" s="12">
        <f t="shared" si="15"/>
        <v>22000</v>
      </c>
      <c r="M331" s="13">
        <v>0.16600000000000001</v>
      </c>
      <c r="N331" s="12">
        <f t="shared" si="16"/>
        <v>3652</v>
      </c>
      <c r="O331" s="12">
        <f t="shared" si="17"/>
        <v>18348</v>
      </c>
    </row>
    <row r="332" spans="1:15">
      <c r="A332" s="2" t="s">
        <v>533</v>
      </c>
      <c r="B332" s="3">
        <v>45065</v>
      </c>
      <c r="C332" s="4">
        <v>2023</v>
      </c>
      <c r="D332" s="2" t="s">
        <v>48</v>
      </c>
      <c r="E332" s="2" t="s">
        <v>17</v>
      </c>
      <c r="F332" s="2" t="s">
        <v>18</v>
      </c>
      <c r="G332" s="2" t="s">
        <v>26</v>
      </c>
      <c r="H332" s="2" t="s">
        <v>110</v>
      </c>
      <c r="I332" s="2" t="s">
        <v>330</v>
      </c>
      <c r="J332" s="5">
        <v>1</v>
      </c>
      <c r="K332" s="6">
        <v>30500</v>
      </c>
      <c r="L332" s="6">
        <f t="shared" si="15"/>
        <v>30500</v>
      </c>
      <c r="M332" s="7">
        <v>0</v>
      </c>
      <c r="N332" s="6">
        <f t="shared" si="16"/>
        <v>0</v>
      </c>
      <c r="O332" s="6">
        <f t="shared" si="17"/>
        <v>30500</v>
      </c>
    </row>
    <row r="333" spans="1:15">
      <c r="A333" s="8" t="s">
        <v>534</v>
      </c>
      <c r="B333" s="9">
        <v>45215</v>
      </c>
      <c r="C333" s="10">
        <v>2023</v>
      </c>
      <c r="D333" s="8" t="s">
        <v>72</v>
      </c>
      <c r="E333" s="8" t="s">
        <v>24</v>
      </c>
      <c r="F333" s="8" t="s">
        <v>25</v>
      </c>
      <c r="G333" s="8" t="s">
        <v>64</v>
      </c>
      <c r="H333" s="8" t="s">
        <v>97</v>
      </c>
      <c r="I333" s="8" t="s">
        <v>98</v>
      </c>
      <c r="J333" s="11">
        <v>3</v>
      </c>
      <c r="K333" s="12">
        <v>3750</v>
      </c>
      <c r="L333" s="12">
        <f t="shared" si="15"/>
        <v>11250</v>
      </c>
      <c r="M333" s="13">
        <v>9.7000000000000003E-2</v>
      </c>
      <c r="N333" s="12">
        <f t="shared" si="16"/>
        <v>1091.25</v>
      </c>
      <c r="O333" s="12">
        <f t="shared" si="17"/>
        <v>10158.75</v>
      </c>
    </row>
    <row r="334" spans="1:15">
      <c r="A334" s="2" t="s">
        <v>535</v>
      </c>
      <c r="B334" s="3">
        <v>45770</v>
      </c>
      <c r="C334" s="4">
        <v>2025</v>
      </c>
      <c r="D334" s="2" t="s">
        <v>30</v>
      </c>
      <c r="E334" s="2" t="s">
        <v>17</v>
      </c>
      <c r="F334" s="2" t="s">
        <v>18</v>
      </c>
      <c r="G334" s="2" t="s">
        <v>37</v>
      </c>
      <c r="H334" s="2" t="s">
        <v>49</v>
      </c>
      <c r="I334" s="2" t="s">
        <v>50</v>
      </c>
      <c r="J334" s="5">
        <v>1</v>
      </c>
      <c r="K334" s="6">
        <v>650</v>
      </c>
      <c r="L334" s="6">
        <f t="shared" si="15"/>
        <v>650</v>
      </c>
      <c r="M334" s="7">
        <v>0</v>
      </c>
      <c r="N334" s="6">
        <f t="shared" si="16"/>
        <v>0</v>
      </c>
      <c r="O334" s="6">
        <f t="shared" si="17"/>
        <v>650</v>
      </c>
    </row>
    <row r="335" spans="1:15">
      <c r="A335" s="8" t="s">
        <v>536</v>
      </c>
      <c r="B335" s="9">
        <v>45511</v>
      </c>
      <c r="C335" s="10">
        <v>2024</v>
      </c>
      <c r="D335" s="8" t="s">
        <v>52</v>
      </c>
      <c r="E335" s="8" t="s">
        <v>24</v>
      </c>
      <c r="F335" s="8" t="s">
        <v>25</v>
      </c>
      <c r="G335" s="8" t="s">
        <v>26</v>
      </c>
      <c r="H335" s="8" t="s">
        <v>110</v>
      </c>
      <c r="I335" s="8" t="s">
        <v>111</v>
      </c>
      <c r="J335" s="11">
        <v>2</v>
      </c>
      <c r="K335" s="12">
        <v>35500</v>
      </c>
      <c r="L335" s="12">
        <f t="shared" si="15"/>
        <v>71000</v>
      </c>
      <c r="M335" s="13">
        <v>0.128</v>
      </c>
      <c r="N335" s="12">
        <f t="shared" si="16"/>
        <v>9088</v>
      </c>
      <c r="O335" s="12">
        <f t="shared" si="17"/>
        <v>61912</v>
      </c>
    </row>
    <row r="336" spans="1:15">
      <c r="A336" s="2" t="s">
        <v>537</v>
      </c>
      <c r="B336" s="3">
        <v>45282</v>
      </c>
      <c r="C336" s="4">
        <v>2023</v>
      </c>
      <c r="D336" s="2" t="s">
        <v>16</v>
      </c>
      <c r="E336" s="2" t="s">
        <v>17</v>
      </c>
      <c r="F336" s="2" t="s">
        <v>18</v>
      </c>
      <c r="G336" s="2" t="s">
        <v>44</v>
      </c>
      <c r="H336" s="2" t="s">
        <v>45</v>
      </c>
      <c r="I336" s="2" t="s">
        <v>307</v>
      </c>
      <c r="J336" s="5">
        <v>5</v>
      </c>
      <c r="K336" s="6">
        <v>700</v>
      </c>
      <c r="L336" s="6">
        <f t="shared" si="15"/>
        <v>3500</v>
      </c>
      <c r="M336" s="7">
        <v>0</v>
      </c>
      <c r="N336" s="6">
        <f t="shared" si="16"/>
        <v>0</v>
      </c>
      <c r="O336" s="6">
        <f t="shared" si="17"/>
        <v>3500</v>
      </c>
    </row>
    <row r="337" spans="1:15">
      <c r="A337" s="8" t="s">
        <v>538</v>
      </c>
      <c r="B337" s="9">
        <v>45480</v>
      </c>
      <c r="C337" s="10">
        <v>2024</v>
      </c>
      <c r="D337" s="8" t="s">
        <v>68</v>
      </c>
      <c r="E337" s="8" t="s">
        <v>42</v>
      </c>
      <c r="F337" s="8" t="s">
        <v>43</v>
      </c>
      <c r="G337" s="8" t="s">
        <v>57</v>
      </c>
      <c r="H337" s="8" t="s">
        <v>75</v>
      </c>
      <c r="I337" s="8" t="s">
        <v>499</v>
      </c>
      <c r="J337" s="11">
        <v>1</v>
      </c>
      <c r="K337" s="12">
        <v>2600</v>
      </c>
      <c r="L337" s="12">
        <f t="shared" si="15"/>
        <v>2600</v>
      </c>
      <c r="M337" s="13">
        <v>0.24399999999999999</v>
      </c>
      <c r="N337" s="12">
        <f t="shared" si="16"/>
        <v>634.4</v>
      </c>
      <c r="O337" s="12">
        <f t="shared" si="17"/>
        <v>1965.6</v>
      </c>
    </row>
    <row r="338" spans="1:15">
      <c r="A338" s="2" t="s">
        <v>539</v>
      </c>
      <c r="B338" s="3">
        <v>45929</v>
      </c>
      <c r="C338" s="4">
        <v>2025</v>
      </c>
      <c r="D338" s="2" t="s">
        <v>123</v>
      </c>
      <c r="E338" s="2" t="s">
        <v>42</v>
      </c>
      <c r="F338" s="2" t="s">
        <v>43</v>
      </c>
      <c r="G338" s="2" t="s">
        <v>19</v>
      </c>
      <c r="H338" s="2" t="s">
        <v>20</v>
      </c>
      <c r="I338" s="2" t="s">
        <v>540</v>
      </c>
      <c r="J338" s="5">
        <v>1</v>
      </c>
      <c r="K338" s="6">
        <v>1050</v>
      </c>
      <c r="L338" s="6">
        <f t="shared" si="15"/>
        <v>1050</v>
      </c>
      <c r="M338" s="7">
        <v>0</v>
      </c>
      <c r="N338" s="6">
        <f t="shared" si="16"/>
        <v>0</v>
      </c>
      <c r="O338" s="6">
        <f t="shared" si="17"/>
        <v>1050</v>
      </c>
    </row>
    <row r="339" spans="1:15">
      <c r="A339" s="8" t="s">
        <v>541</v>
      </c>
      <c r="B339" s="9">
        <v>44971</v>
      </c>
      <c r="C339" s="10">
        <v>2023</v>
      </c>
      <c r="D339" s="8" t="s">
        <v>23</v>
      </c>
      <c r="E339" s="8" t="s">
        <v>42</v>
      </c>
      <c r="F339" s="8" t="s">
        <v>43</v>
      </c>
      <c r="G339" s="8" t="s">
        <v>57</v>
      </c>
      <c r="H339" s="8" t="s">
        <v>75</v>
      </c>
      <c r="I339" s="8" t="s">
        <v>76</v>
      </c>
      <c r="J339" s="11">
        <v>1</v>
      </c>
      <c r="K339" s="12">
        <v>4900</v>
      </c>
      <c r="L339" s="12">
        <f t="shared" si="15"/>
        <v>4900</v>
      </c>
      <c r="M339" s="13">
        <v>0.19400000000000001</v>
      </c>
      <c r="N339" s="12">
        <f t="shared" si="16"/>
        <v>950.6</v>
      </c>
      <c r="O339" s="12">
        <f t="shared" si="17"/>
        <v>3949.4</v>
      </c>
    </row>
    <row r="340" spans="1:15">
      <c r="A340" s="2" t="s">
        <v>542</v>
      </c>
      <c r="B340" s="3">
        <v>45283</v>
      </c>
      <c r="C340" s="4">
        <v>2023</v>
      </c>
      <c r="D340" s="2" t="s">
        <v>16</v>
      </c>
      <c r="E340" s="2" t="s">
        <v>42</v>
      </c>
      <c r="F340" s="2" t="s">
        <v>43</v>
      </c>
      <c r="G340" s="2" t="s">
        <v>31</v>
      </c>
      <c r="H340" s="2" t="s">
        <v>124</v>
      </c>
      <c r="I340" s="2" t="s">
        <v>125</v>
      </c>
      <c r="J340" s="5">
        <v>8</v>
      </c>
      <c r="K340" s="6">
        <v>1200</v>
      </c>
      <c r="L340" s="6">
        <f t="shared" si="15"/>
        <v>9600</v>
      </c>
      <c r="M340" s="7">
        <v>0</v>
      </c>
      <c r="N340" s="6">
        <f t="shared" si="16"/>
        <v>0</v>
      </c>
      <c r="O340" s="6">
        <f t="shared" si="17"/>
        <v>9600</v>
      </c>
    </row>
    <row r="341" spans="1:15">
      <c r="A341" s="8" t="s">
        <v>543</v>
      </c>
      <c r="B341" s="9">
        <v>45117</v>
      </c>
      <c r="C341" s="10">
        <v>2023</v>
      </c>
      <c r="D341" s="8" t="s">
        <v>68</v>
      </c>
      <c r="E341" s="8" t="s">
        <v>35</v>
      </c>
      <c r="F341" s="8" t="s">
        <v>36</v>
      </c>
      <c r="G341" s="8" t="s">
        <v>26</v>
      </c>
      <c r="H341" s="8" t="s">
        <v>110</v>
      </c>
      <c r="I341" s="8" t="s">
        <v>313</v>
      </c>
      <c r="J341" s="11">
        <v>2</v>
      </c>
      <c r="K341" s="12">
        <v>19500</v>
      </c>
      <c r="L341" s="12">
        <f t="shared" si="15"/>
        <v>39000</v>
      </c>
      <c r="M341" s="13">
        <v>0</v>
      </c>
      <c r="N341" s="12">
        <f t="shared" si="16"/>
        <v>0</v>
      </c>
      <c r="O341" s="12">
        <f t="shared" si="17"/>
        <v>39000</v>
      </c>
    </row>
    <row r="342" spans="1:15">
      <c r="A342" s="2" t="s">
        <v>544</v>
      </c>
      <c r="B342" s="3">
        <v>45659</v>
      </c>
      <c r="C342" s="4">
        <v>2025</v>
      </c>
      <c r="D342" s="2" t="s">
        <v>169</v>
      </c>
      <c r="E342" s="2" t="s">
        <v>24</v>
      </c>
      <c r="F342" s="2" t="s">
        <v>25</v>
      </c>
      <c r="G342" s="2" t="s">
        <v>64</v>
      </c>
      <c r="H342" s="2" t="s">
        <v>94</v>
      </c>
      <c r="I342" s="2" t="s">
        <v>95</v>
      </c>
      <c r="J342" s="5">
        <v>1</v>
      </c>
      <c r="K342" s="6">
        <v>2900</v>
      </c>
      <c r="L342" s="6">
        <f t="shared" si="15"/>
        <v>2900</v>
      </c>
      <c r="M342" s="7">
        <v>0</v>
      </c>
      <c r="N342" s="6">
        <f t="shared" si="16"/>
        <v>0</v>
      </c>
      <c r="O342" s="6">
        <f t="shared" si="17"/>
        <v>2900</v>
      </c>
    </row>
    <row r="343" spans="1:15">
      <c r="A343" s="8" t="s">
        <v>545</v>
      </c>
      <c r="B343" s="9">
        <v>45588</v>
      </c>
      <c r="C343" s="10">
        <v>2024</v>
      </c>
      <c r="D343" s="8" t="s">
        <v>72</v>
      </c>
      <c r="E343" s="8" t="s">
        <v>17</v>
      </c>
      <c r="F343" s="8" t="s">
        <v>18</v>
      </c>
      <c r="G343" s="8" t="s">
        <v>64</v>
      </c>
      <c r="H343" s="8" t="s">
        <v>127</v>
      </c>
      <c r="I343" s="8" t="s">
        <v>479</v>
      </c>
      <c r="J343" s="11">
        <v>2</v>
      </c>
      <c r="K343" s="12">
        <v>4050</v>
      </c>
      <c r="L343" s="12">
        <f t="shared" si="15"/>
        <v>8100</v>
      </c>
      <c r="M343" s="13">
        <v>0.106</v>
      </c>
      <c r="N343" s="12">
        <f t="shared" si="16"/>
        <v>858.6</v>
      </c>
      <c r="O343" s="12">
        <f t="shared" si="17"/>
        <v>7241.4</v>
      </c>
    </row>
    <row r="344" spans="1:15">
      <c r="A344" s="2" t="s">
        <v>546</v>
      </c>
      <c r="B344" s="3">
        <v>45875</v>
      </c>
      <c r="C344" s="4">
        <v>2025</v>
      </c>
      <c r="D344" s="2" t="s">
        <v>52</v>
      </c>
      <c r="E344" s="2" t="s">
        <v>24</v>
      </c>
      <c r="F344" s="2" t="s">
        <v>25</v>
      </c>
      <c r="G344" s="2" t="s">
        <v>19</v>
      </c>
      <c r="H344" s="2" t="s">
        <v>69</v>
      </c>
      <c r="I344" s="2" t="s">
        <v>248</v>
      </c>
      <c r="J344" s="5">
        <v>8</v>
      </c>
      <c r="K344" s="6">
        <v>1900</v>
      </c>
      <c r="L344" s="6">
        <f t="shared" si="15"/>
        <v>15200</v>
      </c>
      <c r="M344" s="7">
        <v>0</v>
      </c>
      <c r="N344" s="6">
        <f t="shared" si="16"/>
        <v>0</v>
      </c>
      <c r="O344" s="6">
        <f t="shared" si="17"/>
        <v>15200</v>
      </c>
    </row>
    <row r="345" spans="1:15">
      <c r="A345" s="8" t="s">
        <v>547</v>
      </c>
      <c r="B345" s="9">
        <v>45305</v>
      </c>
      <c r="C345" s="10">
        <v>2024</v>
      </c>
      <c r="D345" s="8" t="s">
        <v>169</v>
      </c>
      <c r="E345" s="8" t="s">
        <v>17</v>
      </c>
      <c r="F345" s="8" t="s">
        <v>18</v>
      </c>
      <c r="G345" s="8" t="s">
        <v>26</v>
      </c>
      <c r="H345" s="8" t="s">
        <v>110</v>
      </c>
      <c r="I345" s="8" t="s">
        <v>330</v>
      </c>
      <c r="J345" s="11">
        <v>1</v>
      </c>
      <c r="K345" s="12">
        <v>41500</v>
      </c>
      <c r="L345" s="12">
        <f t="shared" si="15"/>
        <v>41500</v>
      </c>
      <c r="M345" s="13">
        <v>0</v>
      </c>
      <c r="N345" s="12">
        <f t="shared" si="16"/>
        <v>0</v>
      </c>
      <c r="O345" s="12">
        <f t="shared" si="17"/>
        <v>41500</v>
      </c>
    </row>
    <row r="346" spans="1:15">
      <c r="A346" s="2" t="s">
        <v>548</v>
      </c>
      <c r="B346" s="3">
        <v>45055</v>
      </c>
      <c r="C346" s="4">
        <v>2023</v>
      </c>
      <c r="D346" s="2" t="s">
        <v>48</v>
      </c>
      <c r="E346" s="2" t="s">
        <v>35</v>
      </c>
      <c r="F346" s="2" t="s">
        <v>36</v>
      </c>
      <c r="G346" s="2" t="s">
        <v>26</v>
      </c>
      <c r="H346" s="2" t="s">
        <v>27</v>
      </c>
      <c r="I346" s="2" t="s">
        <v>196</v>
      </c>
      <c r="J346" s="5">
        <v>1</v>
      </c>
      <c r="K346" s="6">
        <v>19000</v>
      </c>
      <c r="L346" s="6">
        <f t="shared" si="15"/>
        <v>19000</v>
      </c>
      <c r="M346" s="7">
        <v>0</v>
      </c>
      <c r="N346" s="6">
        <f t="shared" si="16"/>
        <v>0</v>
      </c>
      <c r="O346" s="6">
        <f t="shared" si="17"/>
        <v>19000</v>
      </c>
    </row>
    <row r="347" spans="1:15">
      <c r="A347" s="8" t="s">
        <v>549</v>
      </c>
      <c r="B347" s="9">
        <v>45066</v>
      </c>
      <c r="C347" s="10">
        <v>2023</v>
      </c>
      <c r="D347" s="8" t="s">
        <v>48</v>
      </c>
      <c r="E347" s="8" t="s">
        <v>35</v>
      </c>
      <c r="F347" s="8" t="s">
        <v>36</v>
      </c>
      <c r="G347" s="8" t="s">
        <v>57</v>
      </c>
      <c r="H347" s="8" t="s">
        <v>58</v>
      </c>
      <c r="I347" s="8" t="s">
        <v>174</v>
      </c>
      <c r="J347" s="11">
        <v>1</v>
      </c>
      <c r="K347" s="12">
        <v>2600</v>
      </c>
      <c r="L347" s="12">
        <f t="shared" si="15"/>
        <v>2600</v>
      </c>
      <c r="M347" s="13">
        <v>0.193</v>
      </c>
      <c r="N347" s="12">
        <f t="shared" si="16"/>
        <v>501.8</v>
      </c>
      <c r="O347" s="12">
        <f t="shared" si="17"/>
        <v>2098.1999999999998</v>
      </c>
    </row>
    <row r="348" spans="1:15">
      <c r="A348" s="2" t="s">
        <v>550</v>
      </c>
      <c r="B348" s="3">
        <v>45076</v>
      </c>
      <c r="C348" s="4">
        <v>2023</v>
      </c>
      <c r="D348" s="2" t="s">
        <v>48</v>
      </c>
      <c r="E348" s="2" t="s">
        <v>24</v>
      </c>
      <c r="F348" s="2" t="s">
        <v>25</v>
      </c>
      <c r="G348" s="2" t="s">
        <v>19</v>
      </c>
      <c r="H348" s="2" t="s">
        <v>116</v>
      </c>
      <c r="I348" s="2" t="s">
        <v>117</v>
      </c>
      <c r="J348" s="5">
        <v>8</v>
      </c>
      <c r="K348" s="6">
        <v>2300</v>
      </c>
      <c r="L348" s="6">
        <f t="shared" si="15"/>
        <v>18400</v>
      </c>
      <c r="M348" s="7">
        <v>0</v>
      </c>
      <c r="N348" s="6">
        <f t="shared" si="16"/>
        <v>0</v>
      </c>
      <c r="O348" s="6">
        <f t="shared" si="17"/>
        <v>18400</v>
      </c>
    </row>
    <row r="349" spans="1:15">
      <c r="A349" s="8" t="s">
        <v>551</v>
      </c>
      <c r="B349" s="9">
        <v>44996</v>
      </c>
      <c r="C349" s="10">
        <v>2023</v>
      </c>
      <c r="D349" s="8" t="s">
        <v>78</v>
      </c>
      <c r="E349" s="8" t="s">
        <v>24</v>
      </c>
      <c r="F349" s="8" t="s">
        <v>25</v>
      </c>
      <c r="G349" s="8" t="s">
        <v>19</v>
      </c>
      <c r="H349" s="8" t="s">
        <v>107</v>
      </c>
      <c r="I349" s="8" t="s">
        <v>221</v>
      </c>
      <c r="J349" s="11">
        <v>1</v>
      </c>
      <c r="K349" s="12">
        <v>550</v>
      </c>
      <c r="L349" s="12">
        <f t="shared" si="15"/>
        <v>550</v>
      </c>
      <c r="M349" s="13">
        <v>0</v>
      </c>
      <c r="N349" s="12">
        <f t="shared" si="16"/>
        <v>0</v>
      </c>
      <c r="O349" s="12">
        <f t="shared" si="17"/>
        <v>550</v>
      </c>
    </row>
    <row r="350" spans="1:15">
      <c r="A350" s="2" t="s">
        <v>552</v>
      </c>
      <c r="B350" s="3">
        <v>45128</v>
      </c>
      <c r="C350" s="4">
        <v>2023</v>
      </c>
      <c r="D350" s="2" t="s">
        <v>68</v>
      </c>
      <c r="E350" s="2" t="s">
        <v>17</v>
      </c>
      <c r="F350" s="2" t="s">
        <v>18</v>
      </c>
      <c r="G350" s="2" t="s">
        <v>64</v>
      </c>
      <c r="H350" s="2" t="s">
        <v>65</v>
      </c>
      <c r="I350" s="2" t="s">
        <v>206</v>
      </c>
      <c r="J350" s="5">
        <v>2</v>
      </c>
      <c r="K350" s="6">
        <v>4100</v>
      </c>
      <c r="L350" s="6">
        <f t="shared" si="15"/>
        <v>8200</v>
      </c>
      <c r="M350" s="7">
        <v>0.109</v>
      </c>
      <c r="N350" s="6">
        <f t="shared" si="16"/>
        <v>893.8</v>
      </c>
      <c r="O350" s="6">
        <f t="shared" si="17"/>
        <v>7306.2</v>
      </c>
    </row>
    <row r="351" spans="1:15">
      <c r="A351" s="8" t="s">
        <v>553</v>
      </c>
      <c r="B351" s="9">
        <v>46009</v>
      </c>
      <c r="C351" s="10">
        <v>2025</v>
      </c>
      <c r="D351" s="8" t="s">
        <v>16</v>
      </c>
      <c r="E351" s="8" t="s">
        <v>35</v>
      </c>
      <c r="F351" s="8" t="s">
        <v>36</v>
      </c>
      <c r="G351" s="8" t="s">
        <v>31</v>
      </c>
      <c r="H351" s="8" t="s">
        <v>32</v>
      </c>
      <c r="I351" s="8" t="s">
        <v>33</v>
      </c>
      <c r="J351" s="11">
        <v>5</v>
      </c>
      <c r="K351" s="12">
        <v>750</v>
      </c>
      <c r="L351" s="12">
        <f t="shared" si="15"/>
        <v>3750</v>
      </c>
      <c r="M351" s="13">
        <v>0</v>
      </c>
      <c r="N351" s="12">
        <f t="shared" si="16"/>
        <v>0</v>
      </c>
      <c r="O351" s="12">
        <f t="shared" si="17"/>
        <v>3750</v>
      </c>
    </row>
    <row r="352" spans="1:15">
      <c r="A352" s="2" t="s">
        <v>554</v>
      </c>
      <c r="B352" s="3">
        <v>45774</v>
      </c>
      <c r="C352" s="4">
        <v>2025</v>
      </c>
      <c r="D352" s="2" t="s">
        <v>30</v>
      </c>
      <c r="E352" s="2" t="s">
        <v>17</v>
      </c>
      <c r="F352" s="2" t="s">
        <v>18</v>
      </c>
      <c r="G352" s="2" t="s">
        <v>53</v>
      </c>
      <c r="H352" s="2" t="s">
        <v>193</v>
      </c>
      <c r="I352" s="2" t="s">
        <v>334</v>
      </c>
      <c r="J352" s="5">
        <v>1</v>
      </c>
      <c r="K352" s="6">
        <v>3850</v>
      </c>
      <c r="L352" s="6">
        <f t="shared" si="15"/>
        <v>3850</v>
      </c>
      <c r="M352" s="7">
        <v>0.14000000000000001</v>
      </c>
      <c r="N352" s="6">
        <f t="shared" si="16"/>
        <v>539</v>
      </c>
      <c r="O352" s="6">
        <f t="shared" si="17"/>
        <v>3311</v>
      </c>
    </row>
    <row r="353" spans="1:15">
      <c r="A353" s="8" t="s">
        <v>555</v>
      </c>
      <c r="B353" s="9">
        <v>45325</v>
      </c>
      <c r="C353" s="10">
        <v>2024</v>
      </c>
      <c r="D353" s="8" t="s">
        <v>23</v>
      </c>
      <c r="E353" s="8" t="s">
        <v>42</v>
      </c>
      <c r="F353" s="8" t="s">
        <v>43</v>
      </c>
      <c r="G353" s="8" t="s">
        <v>19</v>
      </c>
      <c r="H353" s="8" t="s">
        <v>116</v>
      </c>
      <c r="I353" s="8" t="s">
        <v>117</v>
      </c>
      <c r="J353" s="11">
        <v>1</v>
      </c>
      <c r="K353" s="12">
        <v>950</v>
      </c>
      <c r="L353" s="12">
        <f t="shared" si="15"/>
        <v>950</v>
      </c>
      <c r="M353" s="13">
        <v>0</v>
      </c>
      <c r="N353" s="12">
        <f t="shared" si="16"/>
        <v>0</v>
      </c>
      <c r="O353" s="12">
        <f t="shared" si="17"/>
        <v>950</v>
      </c>
    </row>
    <row r="354" spans="1:15">
      <c r="A354" s="2" t="s">
        <v>556</v>
      </c>
      <c r="B354" s="3">
        <v>45359</v>
      </c>
      <c r="C354" s="4">
        <v>2024</v>
      </c>
      <c r="D354" s="2" t="s">
        <v>78</v>
      </c>
      <c r="E354" s="2" t="s">
        <v>17</v>
      </c>
      <c r="F354" s="2" t="s">
        <v>18</v>
      </c>
      <c r="G354" s="2" t="s">
        <v>19</v>
      </c>
      <c r="H354" s="2" t="s">
        <v>141</v>
      </c>
      <c r="I354" s="2" t="s">
        <v>283</v>
      </c>
      <c r="J354" s="5">
        <v>3</v>
      </c>
      <c r="K354" s="6">
        <v>360</v>
      </c>
      <c r="L354" s="6">
        <f t="shared" si="15"/>
        <v>1080</v>
      </c>
      <c r="M354" s="7">
        <v>6.3E-2</v>
      </c>
      <c r="N354" s="6">
        <f t="shared" si="16"/>
        <v>68.040000000000006</v>
      </c>
      <c r="O354" s="6">
        <f t="shared" si="17"/>
        <v>1011.96</v>
      </c>
    </row>
    <row r="355" spans="1:15">
      <c r="A355" s="8" t="s">
        <v>557</v>
      </c>
      <c r="B355" s="9">
        <v>45890</v>
      </c>
      <c r="C355" s="10">
        <v>2025</v>
      </c>
      <c r="D355" s="8" t="s">
        <v>52</v>
      </c>
      <c r="E355" s="8" t="s">
        <v>42</v>
      </c>
      <c r="F355" s="8" t="s">
        <v>43</v>
      </c>
      <c r="G355" s="8" t="s">
        <v>19</v>
      </c>
      <c r="H355" s="8" t="s">
        <v>20</v>
      </c>
      <c r="I355" s="8" t="s">
        <v>540</v>
      </c>
      <c r="J355" s="11">
        <v>4</v>
      </c>
      <c r="K355" s="12">
        <v>2200</v>
      </c>
      <c r="L355" s="12">
        <f t="shared" si="15"/>
        <v>8800</v>
      </c>
      <c r="M355" s="13">
        <v>0</v>
      </c>
      <c r="N355" s="12">
        <f t="shared" si="16"/>
        <v>0</v>
      </c>
      <c r="O355" s="12">
        <f t="shared" si="17"/>
        <v>8800</v>
      </c>
    </row>
    <row r="356" spans="1:15">
      <c r="A356" s="2" t="s">
        <v>558</v>
      </c>
      <c r="B356" s="3">
        <v>45093</v>
      </c>
      <c r="C356" s="4">
        <v>2023</v>
      </c>
      <c r="D356" s="2" t="s">
        <v>100</v>
      </c>
      <c r="E356" s="2" t="s">
        <v>17</v>
      </c>
      <c r="F356" s="2" t="s">
        <v>18</v>
      </c>
      <c r="G356" s="2" t="s">
        <v>31</v>
      </c>
      <c r="H356" s="2" t="s">
        <v>124</v>
      </c>
      <c r="I356" s="2" t="s">
        <v>266</v>
      </c>
      <c r="J356" s="5">
        <v>10</v>
      </c>
      <c r="K356" s="6">
        <v>950</v>
      </c>
      <c r="L356" s="6">
        <f t="shared" si="15"/>
        <v>9500</v>
      </c>
      <c r="M356" s="7">
        <v>0</v>
      </c>
      <c r="N356" s="6">
        <f t="shared" si="16"/>
        <v>0</v>
      </c>
      <c r="O356" s="6">
        <f t="shared" si="17"/>
        <v>9500</v>
      </c>
    </row>
    <row r="357" spans="1:15">
      <c r="A357" s="8" t="s">
        <v>559</v>
      </c>
      <c r="B357" s="9">
        <v>46002</v>
      </c>
      <c r="C357" s="10">
        <v>2025</v>
      </c>
      <c r="D357" s="8" t="s">
        <v>16</v>
      </c>
      <c r="E357" s="8" t="s">
        <v>17</v>
      </c>
      <c r="F357" s="8" t="s">
        <v>18</v>
      </c>
      <c r="G357" s="8" t="s">
        <v>64</v>
      </c>
      <c r="H357" s="8" t="s">
        <v>127</v>
      </c>
      <c r="I357" s="8" t="s">
        <v>317</v>
      </c>
      <c r="J357" s="11">
        <v>2</v>
      </c>
      <c r="K357" s="12">
        <v>3250</v>
      </c>
      <c r="L357" s="12">
        <f t="shared" si="15"/>
        <v>6500</v>
      </c>
      <c r="M357" s="13">
        <v>0.26500000000000001</v>
      </c>
      <c r="N357" s="12">
        <f t="shared" si="16"/>
        <v>1722.5</v>
      </c>
      <c r="O357" s="12">
        <f t="shared" si="17"/>
        <v>4777.5</v>
      </c>
    </row>
    <row r="358" spans="1:15">
      <c r="A358" s="2" t="s">
        <v>560</v>
      </c>
      <c r="B358" s="3">
        <v>45993</v>
      </c>
      <c r="C358" s="4">
        <v>2025</v>
      </c>
      <c r="D358" s="2" t="s">
        <v>16</v>
      </c>
      <c r="E358" s="2" t="s">
        <v>42</v>
      </c>
      <c r="F358" s="2" t="s">
        <v>43</v>
      </c>
      <c r="G358" s="2" t="s">
        <v>19</v>
      </c>
      <c r="H358" s="2" t="s">
        <v>116</v>
      </c>
      <c r="I358" s="2" t="s">
        <v>139</v>
      </c>
      <c r="J358" s="5">
        <v>3</v>
      </c>
      <c r="K358" s="6">
        <v>1250</v>
      </c>
      <c r="L358" s="6">
        <f t="shared" si="15"/>
        <v>3750</v>
      </c>
      <c r="M358" s="7">
        <v>4.9000000000000002E-2</v>
      </c>
      <c r="N358" s="6">
        <f t="shared" si="16"/>
        <v>183.75</v>
      </c>
      <c r="O358" s="6">
        <f t="shared" si="17"/>
        <v>3566.25</v>
      </c>
    </row>
    <row r="359" spans="1:15">
      <c r="A359" s="8" t="s">
        <v>561</v>
      </c>
      <c r="B359" s="9">
        <v>45159</v>
      </c>
      <c r="C359" s="10">
        <v>2023</v>
      </c>
      <c r="D359" s="8" t="s">
        <v>52</v>
      </c>
      <c r="E359" s="8" t="s">
        <v>35</v>
      </c>
      <c r="F359" s="8" t="s">
        <v>36</v>
      </c>
      <c r="G359" s="8" t="s">
        <v>44</v>
      </c>
      <c r="H359" s="8" t="s">
        <v>223</v>
      </c>
      <c r="I359" s="8" t="s">
        <v>320</v>
      </c>
      <c r="J359" s="11">
        <v>5</v>
      </c>
      <c r="K359" s="12">
        <v>850</v>
      </c>
      <c r="L359" s="12">
        <f t="shared" si="15"/>
        <v>4250</v>
      </c>
      <c r="M359" s="13">
        <v>0</v>
      </c>
      <c r="N359" s="12">
        <f t="shared" si="16"/>
        <v>0</v>
      </c>
      <c r="O359" s="12">
        <f t="shared" si="17"/>
        <v>4250</v>
      </c>
    </row>
    <row r="360" spans="1:15">
      <c r="A360" s="2" t="s">
        <v>562</v>
      </c>
      <c r="B360" s="3">
        <v>45018</v>
      </c>
      <c r="C360" s="4">
        <v>2023</v>
      </c>
      <c r="D360" s="2" t="s">
        <v>30</v>
      </c>
      <c r="E360" s="2" t="s">
        <v>24</v>
      </c>
      <c r="F360" s="2" t="s">
        <v>25</v>
      </c>
      <c r="G360" s="2" t="s">
        <v>44</v>
      </c>
      <c r="H360" s="2" t="s">
        <v>176</v>
      </c>
      <c r="I360" s="2" t="s">
        <v>453</v>
      </c>
      <c r="J360" s="5">
        <v>6</v>
      </c>
      <c r="K360" s="6">
        <v>850</v>
      </c>
      <c r="L360" s="6">
        <f t="shared" si="15"/>
        <v>5100</v>
      </c>
      <c r="M360" s="7">
        <v>0</v>
      </c>
      <c r="N360" s="6">
        <f t="shared" si="16"/>
        <v>0</v>
      </c>
      <c r="O360" s="6">
        <f t="shared" si="17"/>
        <v>5100</v>
      </c>
    </row>
    <row r="361" spans="1:15">
      <c r="A361" s="8" t="s">
        <v>563</v>
      </c>
      <c r="B361" s="9">
        <v>44978</v>
      </c>
      <c r="C361" s="10">
        <v>2023</v>
      </c>
      <c r="D361" s="8" t="s">
        <v>23</v>
      </c>
      <c r="E361" s="8" t="s">
        <v>35</v>
      </c>
      <c r="F361" s="8" t="s">
        <v>36</v>
      </c>
      <c r="G361" s="8" t="s">
        <v>57</v>
      </c>
      <c r="H361" s="8" t="s">
        <v>75</v>
      </c>
      <c r="I361" s="8" t="s">
        <v>184</v>
      </c>
      <c r="J361" s="11">
        <v>1</v>
      </c>
      <c r="K361" s="12">
        <v>4950</v>
      </c>
      <c r="L361" s="12">
        <f t="shared" si="15"/>
        <v>4950</v>
      </c>
      <c r="M361" s="13">
        <v>0</v>
      </c>
      <c r="N361" s="12">
        <f t="shared" si="16"/>
        <v>0</v>
      </c>
      <c r="O361" s="12">
        <f t="shared" si="17"/>
        <v>4950</v>
      </c>
    </row>
    <row r="362" spans="1:15">
      <c r="A362" s="2" t="s">
        <v>564</v>
      </c>
      <c r="B362" s="3">
        <v>44950</v>
      </c>
      <c r="C362" s="4">
        <v>2023</v>
      </c>
      <c r="D362" s="2" t="s">
        <v>169</v>
      </c>
      <c r="E362" s="2" t="s">
        <v>17</v>
      </c>
      <c r="F362" s="2" t="s">
        <v>18</v>
      </c>
      <c r="G362" s="2" t="s">
        <v>37</v>
      </c>
      <c r="H362" s="2" t="s">
        <v>104</v>
      </c>
      <c r="I362" s="2" t="s">
        <v>289</v>
      </c>
      <c r="J362" s="5">
        <v>1</v>
      </c>
      <c r="K362" s="6">
        <v>950</v>
      </c>
      <c r="L362" s="6">
        <f t="shared" si="15"/>
        <v>950</v>
      </c>
      <c r="M362" s="7">
        <v>0</v>
      </c>
      <c r="N362" s="6">
        <f t="shared" si="16"/>
        <v>0</v>
      </c>
      <c r="O362" s="6">
        <f t="shared" si="17"/>
        <v>950</v>
      </c>
    </row>
    <row r="363" spans="1:15">
      <c r="A363" s="8" t="s">
        <v>565</v>
      </c>
      <c r="B363" s="9">
        <v>45623</v>
      </c>
      <c r="C363" s="10">
        <v>2024</v>
      </c>
      <c r="D363" s="8" t="s">
        <v>41</v>
      </c>
      <c r="E363" s="8" t="s">
        <v>17</v>
      </c>
      <c r="F363" s="8" t="s">
        <v>18</v>
      </c>
      <c r="G363" s="8" t="s">
        <v>19</v>
      </c>
      <c r="H363" s="8" t="s">
        <v>107</v>
      </c>
      <c r="I363" s="8" t="s">
        <v>108</v>
      </c>
      <c r="J363" s="11">
        <v>6</v>
      </c>
      <c r="K363" s="12">
        <v>2400</v>
      </c>
      <c r="L363" s="12">
        <f t="shared" si="15"/>
        <v>14400</v>
      </c>
      <c r="M363" s="13">
        <v>0</v>
      </c>
      <c r="N363" s="12">
        <f t="shared" si="16"/>
        <v>0</v>
      </c>
      <c r="O363" s="12">
        <f t="shared" si="17"/>
        <v>14400</v>
      </c>
    </row>
    <row r="364" spans="1:15">
      <c r="A364" s="2" t="s">
        <v>566</v>
      </c>
      <c r="B364" s="3">
        <v>45470</v>
      </c>
      <c r="C364" s="4">
        <v>2024</v>
      </c>
      <c r="D364" s="2" t="s">
        <v>100</v>
      </c>
      <c r="E364" s="2" t="s">
        <v>17</v>
      </c>
      <c r="F364" s="2" t="s">
        <v>18</v>
      </c>
      <c r="G364" s="2" t="s">
        <v>57</v>
      </c>
      <c r="H364" s="2" t="s">
        <v>131</v>
      </c>
      <c r="I364" s="2" t="s">
        <v>166</v>
      </c>
      <c r="J364" s="5">
        <v>2</v>
      </c>
      <c r="K364" s="6">
        <v>2900</v>
      </c>
      <c r="L364" s="6">
        <f t="shared" si="15"/>
        <v>5800</v>
      </c>
      <c r="M364" s="7">
        <v>0</v>
      </c>
      <c r="N364" s="6">
        <f t="shared" si="16"/>
        <v>0</v>
      </c>
      <c r="O364" s="6">
        <f t="shared" si="17"/>
        <v>5800</v>
      </c>
    </row>
    <row r="365" spans="1:15">
      <c r="A365" s="8" t="s">
        <v>567</v>
      </c>
      <c r="B365" s="9">
        <v>45416</v>
      </c>
      <c r="C365" s="10">
        <v>2024</v>
      </c>
      <c r="D365" s="8" t="s">
        <v>48</v>
      </c>
      <c r="E365" s="8" t="s">
        <v>24</v>
      </c>
      <c r="F365" s="8" t="s">
        <v>25</v>
      </c>
      <c r="G365" s="8" t="s">
        <v>37</v>
      </c>
      <c r="H365" s="8" t="s">
        <v>38</v>
      </c>
      <c r="I365" s="8" t="s">
        <v>436</v>
      </c>
      <c r="J365" s="11">
        <v>3</v>
      </c>
      <c r="K365" s="12">
        <v>600</v>
      </c>
      <c r="L365" s="12">
        <f t="shared" si="15"/>
        <v>1800</v>
      </c>
      <c r="M365" s="13">
        <v>0</v>
      </c>
      <c r="N365" s="12">
        <f t="shared" si="16"/>
        <v>0</v>
      </c>
      <c r="O365" s="12">
        <f t="shared" si="17"/>
        <v>1800</v>
      </c>
    </row>
    <row r="366" spans="1:15">
      <c r="A366" s="2" t="s">
        <v>568</v>
      </c>
      <c r="B366" s="3">
        <v>45622</v>
      </c>
      <c r="C366" s="4">
        <v>2024</v>
      </c>
      <c r="D366" s="2" t="s">
        <v>41</v>
      </c>
      <c r="E366" s="2" t="s">
        <v>42</v>
      </c>
      <c r="F366" s="2" t="s">
        <v>43</v>
      </c>
      <c r="G366" s="2" t="s">
        <v>31</v>
      </c>
      <c r="H366" s="2" t="s">
        <v>124</v>
      </c>
      <c r="I366" s="2" t="s">
        <v>264</v>
      </c>
      <c r="J366" s="5">
        <v>5</v>
      </c>
      <c r="K366" s="6">
        <v>550</v>
      </c>
      <c r="L366" s="6">
        <f t="shared" si="15"/>
        <v>2750</v>
      </c>
      <c r="M366" s="7">
        <v>0.02</v>
      </c>
      <c r="N366" s="6">
        <f t="shared" si="16"/>
        <v>55</v>
      </c>
      <c r="O366" s="6">
        <f t="shared" si="17"/>
        <v>2695</v>
      </c>
    </row>
    <row r="367" spans="1:15">
      <c r="A367" s="8" t="s">
        <v>569</v>
      </c>
      <c r="B367" s="9">
        <v>45597</v>
      </c>
      <c r="C367" s="10">
        <v>2024</v>
      </c>
      <c r="D367" s="8" t="s">
        <v>41</v>
      </c>
      <c r="E367" s="8" t="s">
        <v>17</v>
      </c>
      <c r="F367" s="8" t="s">
        <v>18</v>
      </c>
      <c r="G367" s="8" t="s">
        <v>57</v>
      </c>
      <c r="H367" s="8" t="s">
        <v>75</v>
      </c>
      <c r="I367" s="8" t="s">
        <v>499</v>
      </c>
      <c r="J367" s="11">
        <v>1</v>
      </c>
      <c r="K367" s="12">
        <v>4350</v>
      </c>
      <c r="L367" s="12">
        <f t="shared" si="15"/>
        <v>4350</v>
      </c>
      <c r="M367" s="13">
        <v>0</v>
      </c>
      <c r="N367" s="12">
        <f t="shared" si="16"/>
        <v>0</v>
      </c>
      <c r="O367" s="12">
        <f t="shared" si="17"/>
        <v>4350</v>
      </c>
    </row>
    <row r="368" spans="1:15">
      <c r="A368" s="2" t="s">
        <v>570</v>
      </c>
      <c r="B368" s="3">
        <v>45867</v>
      </c>
      <c r="C368" s="4">
        <v>2025</v>
      </c>
      <c r="D368" s="2" t="s">
        <v>68</v>
      </c>
      <c r="E368" s="2" t="s">
        <v>24</v>
      </c>
      <c r="F368" s="2" t="s">
        <v>25</v>
      </c>
      <c r="G368" s="2" t="s">
        <v>19</v>
      </c>
      <c r="H368" s="2" t="s">
        <v>271</v>
      </c>
      <c r="I368" s="2" t="s">
        <v>571</v>
      </c>
      <c r="J368" s="5">
        <v>3</v>
      </c>
      <c r="K368" s="6">
        <v>1250</v>
      </c>
      <c r="L368" s="6">
        <f t="shared" si="15"/>
        <v>3750</v>
      </c>
      <c r="M368" s="7">
        <v>5.5E-2</v>
      </c>
      <c r="N368" s="6">
        <f t="shared" si="16"/>
        <v>206.25</v>
      </c>
      <c r="O368" s="6">
        <f t="shared" si="17"/>
        <v>3543.75</v>
      </c>
    </row>
    <row r="369" spans="1:15">
      <c r="A369" s="8" t="s">
        <v>572</v>
      </c>
      <c r="B369" s="9">
        <v>45298</v>
      </c>
      <c r="C369" s="10">
        <v>2024</v>
      </c>
      <c r="D369" s="8" t="s">
        <v>169</v>
      </c>
      <c r="E369" s="8" t="s">
        <v>24</v>
      </c>
      <c r="F369" s="8" t="s">
        <v>25</v>
      </c>
      <c r="G369" s="8" t="s">
        <v>31</v>
      </c>
      <c r="H369" s="8" t="s">
        <v>81</v>
      </c>
      <c r="I369" s="8" t="s">
        <v>148</v>
      </c>
      <c r="J369" s="11">
        <v>1</v>
      </c>
      <c r="K369" s="12">
        <v>340</v>
      </c>
      <c r="L369" s="12">
        <f t="shared" si="15"/>
        <v>340</v>
      </c>
      <c r="M369" s="13">
        <v>3.0000000000000001E-3</v>
      </c>
      <c r="N369" s="12">
        <f t="shared" si="16"/>
        <v>1.02</v>
      </c>
      <c r="O369" s="12">
        <f t="shared" si="17"/>
        <v>338.98</v>
      </c>
    </row>
    <row r="370" spans="1:15">
      <c r="A370" s="2" t="s">
        <v>573</v>
      </c>
      <c r="B370" s="3">
        <v>45698</v>
      </c>
      <c r="C370" s="4">
        <v>2025</v>
      </c>
      <c r="D370" s="2" t="s">
        <v>23</v>
      </c>
      <c r="E370" s="2" t="s">
        <v>35</v>
      </c>
      <c r="F370" s="2" t="s">
        <v>36</v>
      </c>
      <c r="G370" s="2" t="s">
        <v>64</v>
      </c>
      <c r="H370" s="2" t="s">
        <v>65</v>
      </c>
      <c r="I370" s="2" t="s">
        <v>73</v>
      </c>
      <c r="J370" s="5">
        <v>2</v>
      </c>
      <c r="K370" s="6">
        <v>2700</v>
      </c>
      <c r="L370" s="6">
        <f t="shared" si="15"/>
        <v>5400</v>
      </c>
      <c r="M370" s="7">
        <v>0.13500000000000001</v>
      </c>
      <c r="N370" s="6">
        <f t="shared" si="16"/>
        <v>729</v>
      </c>
      <c r="O370" s="6">
        <f t="shared" si="17"/>
        <v>4671</v>
      </c>
    </row>
    <row r="371" spans="1:15">
      <c r="A371" s="8" t="s">
        <v>574</v>
      </c>
      <c r="B371" s="9">
        <v>45169</v>
      </c>
      <c r="C371" s="10">
        <v>2023</v>
      </c>
      <c r="D371" s="8" t="s">
        <v>52</v>
      </c>
      <c r="E371" s="8" t="s">
        <v>35</v>
      </c>
      <c r="F371" s="8" t="s">
        <v>36</v>
      </c>
      <c r="G371" s="8" t="s">
        <v>37</v>
      </c>
      <c r="H371" s="8" t="s">
        <v>104</v>
      </c>
      <c r="I371" s="8" t="s">
        <v>105</v>
      </c>
      <c r="J371" s="11">
        <v>1</v>
      </c>
      <c r="K371" s="12">
        <v>500</v>
      </c>
      <c r="L371" s="12">
        <f t="shared" si="15"/>
        <v>500</v>
      </c>
      <c r="M371" s="13">
        <v>0</v>
      </c>
      <c r="N371" s="12">
        <f t="shared" si="16"/>
        <v>0</v>
      </c>
      <c r="O371" s="12">
        <f t="shared" si="17"/>
        <v>500</v>
      </c>
    </row>
    <row r="372" spans="1:15">
      <c r="A372" s="2" t="s">
        <v>575</v>
      </c>
      <c r="B372" s="3">
        <v>45399</v>
      </c>
      <c r="C372" s="4">
        <v>2024</v>
      </c>
      <c r="D372" s="2" t="s">
        <v>30</v>
      </c>
      <c r="E372" s="2" t="s">
        <v>35</v>
      </c>
      <c r="F372" s="2" t="s">
        <v>36</v>
      </c>
      <c r="G372" s="2" t="s">
        <v>19</v>
      </c>
      <c r="H372" s="2" t="s">
        <v>107</v>
      </c>
      <c r="I372" s="2" t="s">
        <v>146</v>
      </c>
      <c r="J372" s="5">
        <v>1</v>
      </c>
      <c r="K372" s="6">
        <v>1700</v>
      </c>
      <c r="L372" s="6">
        <f t="shared" si="15"/>
        <v>1700</v>
      </c>
      <c r="M372" s="7">
        <v>0</v>
      </c>
      <c r="N372" s="6">
        <f t="shared" si="16"/>
        <v>0</v>
      </c>
      <c r="O372" s="6">
        <f t="shared" si="17"/>
        <v>1700</v>
      </c>
    </row>
    <row r="373" spans="1:15">
      <c r="A373" s="8" t="s">
        <v>576</v>
      </c>
      <c r="B373" s="9">
        <v>45500</v>
      </c>
      <c r="C373" s="10">
        <v>2024</v>
      </c>
      <c r="D373" s="8" t="s">
        <v>68</v>
      </c>
      <c r="E373" s="8" t="s">
        <v>24</v>
      </c>
      <c r="F373" s="8" t="s">
        <v>25</v>
      </c>
      <c r="G373" s="8" t="s">
        <v>37</v>
      </c>
      <c r="H373" s="8" t="s">
        <v>104</v>
      </c>
      <c r="I373" s="8" t="s">
        <v>105</v>
      </c>
      <c r="J373" s="11">
        <v>4</v>
      </c>
      <c r="K373" s="12">
        <v>2700</v>
      </c>
      <c r="L373" s="12">
        <f t="shared" si="15"/>
        <v>10800</v>
      </c>
      <c r="M373" s="13">
        <v>0</v>
      </c>
      <c r="N373" s="12">
        <f t="shared" si="16"/>
        <v>0</v>
      </c>
      <c r="O373" s="12">
        <f t="shared" si="17"/>
        <v>10800</v>
      </c>
    </row>
    <row r="374" spans="1:15">
      <c r="A374" s="2" t="s">
        <v>577</v>
      </c>
      <c r="B374" s="3">
        <v>45398</v>
      </c>
      <c r="C374" s="4">
        <v>2024</v>
      </c>
      <c r="D374" s="2" t="s">
        <v>30</v>
      </c>
      <c r="E374" s="2" t="s">
        <v>35</v>
      </c>
      <c r="F374" s="2" t="s">
        <v>36</v>
      </c>
      <c r="G374" s="2" t="s">
        <v>19</v>
      </c>
      <c r="H374" s="2" t="s">
        <v>69</v>
      </c>
      <c r="I374" s="2" t="s">
        <v>70</v>
      </c>
      <c r="J374" s="5">
        <v>4</v>
      </c>
      <c r="K374" s="6">
        <v>1950</v>
      </c>
      <c r="L374" s="6">
        <f t="shared" si="15"/>
        <v>7800</v>
      </c>
      <c r="M374" s="7">
        <v>0</v>
      </c>
      <c r="N374" s="6">
        <f t="shared" si="16"/>
        <v>0</v>
      </c>
      <c r="O374" s="6">
        <f t="shared" si="17"/>
        <v>7800</v>
      </c>
    </row>
    <row r="375" spans="1:15">
      <c r="A375" s="8" t="s">
        <v>578</v>
      </c>
      <c r="B375" s="9">
        <v>45158</v>
      </c>
      <c r="C375" s="10">
        <v>2023</v>
      </c>
      <c r="D375" s="8" t="s">
        <v>52</v>
      </c>
      <c r="E375" s="8" t="s">
        <v>17</v>
      </c>
      <c r="F375" s="8" t="s">
        <v>18</v>
      </c>
      <c r="G375" s="8" t="s">
        <v>19</v>
      </c>
      <c r="H375" s="8" t="s">
        <v>20</v>
      </c>
      <c r="I375" s="8" t="s">
        <v>120</v>
      </c>
      <c r="J375" s="11">
        <v>1</v>
      </c>
      <c r="K375" s="12">
        <v>1400</v>
      </c>
      <c r="L375" s="12">
        <f t="shared" si="15"/>
        <v>1400</v>
      </c>
      <c r="M375" s="13">
        <v>0</v>
      </c>
      <c r="N375" s="12">
        <f t="shared" si="16"/>
        <v>0</v>
      </c>
      <c r="O375" s="12">
        <f t="shared" si="17"/>
        <v>1400</v>
      </c>
    </row>
    <row r="376" spans="1:15">
      <c r="A376" s="2" t="s">
        <v>579</v>
      </c>
      <c r="B376" s="3">
        <v>45056</v>
      </c>
      <c r="C376" s="4">
        <v>2023</v>
      </c>
      <c r="D376" s="2" t="s">
        <v>48</v>
      </c>
      <c r="E376" s="2" t="s">
        <v>42</v>
      </c>
      <c r="F376" s="2" t="s">
        <v>43</v>
      </c>
      <c r="G376" s="2" t="s">
        <v>19</v>
      </c>
      <c r="H376" s="2" t="s">
        <v>107</v>
      </c>
      <c r="I376" s="2" t="s">
        <v>242</v>
      </c>
      <c r="J376" s="5">
        <v>2</v>
      </c>
      <c r="K376" s="6">
        <v>1850</v>
      </c>
      <c r="L376" s="6">
        <f t="shared" si="15"/>
        <v>3700</v>
      </c>
      <c r="M376" s="7">
        <v>0</v>
      </c>
      <c r="N376" s="6">
        <f t="shared" si="16"/>
        <v>0</v>
      </c>
      <c r="O376" s="6">
        <f t="shared" si="17"/>
        <v>3700</v>
      </c>
    </row>
    <row r="377" spans="1:15">
      <c r="A377" s="8" t="s">
        <v>580</v>
      </c>
      <c r="B377" s="9">
        <v>45859</v>
      </c>
      <c r="C377" s="10">
        <v>2025</v>
      </c>
      <c r="D377" s="8" t="s">
        <v>68</v>
      </c>
      <c r="E377" s="8" t="s">
        <v>42</v>
      </c>
      <c r="F377" s="8" t="s">
        <v>43</v>
      </c>
      <c r="G377" s="8" t="s">
        <v>64</v>
      </c>
      <c r="H377" s="8" t="s">
        <v>127</v>
      </c>
      <c r="I377" s="8" t="s">
        <v>479</v>
      </c>
      <c r="J377" s="11">
        <v>4</v>
      </c>
      <c r="K377" s="12">
        <v>3800</v>
      </c>
      <c r="L377" s="12">
        <f t="shared" si="15"/>
        <v>15200</v>
      </c>
      <c r="M377" s="13">
        <v>0.10199999999999999</v>
      </c>
      <c r="N377" s="12">
        <f t="shared" si="16"/>
        <v>1550.3999999999999</v>
      </c>
      <c r="O377" s="12">
        <f t="shared" si="17"/>
        <v>13649.6</v>
      </c>
    </row>
    <row r="378" spans="1:15">
      <c r="A378" s="2" t="s">
        <v>581</v>
      </c>
      <c r="B378" s="3">
        <v>45605</v>
      </c>
      <c r="C378" s="4">
        <v>2024</v>
      </c>
      <c r="D378" s="2" t="s">
        <v>41</v>
      </c>
      <c r="E378" s="2" t="s">
        <v>35</v>
      </c>
      <c r="F378" s="2" t="s">
        <v>36</v>
      </c>
      <c r="G378" s="2" t="s">
        <v>26</v>
      </c>
      <c r="H378" s="2" t="s">
        <v>27</v>
      </c>
      <c r="I378" s="2" t="s">
        <v>336</v>
      </c>
      <c r="J378" s="5">
        <v>1</v>
      </c>
      <c r="K378" s="6">
        <v>46500</v>
      </c>
      <c r="L378" s="6">
        <f t="shared" si="15"/>
        <v>46500</v>
      </c>
      <c r="M378" s="7">
        <v>0</v>
      </c>
      <c r="N378" s="6">
        <f t="shared" si="16"/>
        <v>0</v>
      </c>
      <c r="O378" s="6">
        <f t="shared" si="17"/>
        <v>46500</v>
      </c>
    </row>
    <row r="379" spans="1:15">
      <c r="A379" s="8" t="s">
        <v>582</v>
      </c>
      <c r="B379" s="9">
        <v>45129</v>
      </c>
      <c r="C379" s="10">
        <v>2023</v>
      </c>
      <c r="D379" s="8" t="s">
        <v>68</v>
      </c>
      <c r="E379" s="8" t="s">
        <v>17</v>
      </c>
      <c r="F379" s="8" t="s">
        <v>18</v>
      </c>
      <c r="G379" s="8" t="s">
        <v>19</v>
      </c>
      <c r="H379" s="8" t="s">
        <v>69</v>
      </c>
      <c r="I379" s="8" t="s">
        <v>70</v>
      </c>
      <c r="J379" s="11">
        <v>4</v>
      </c>
      <c r="K379" s="12">
        <v>1950</v>
      </c>
      <c r="L379" s="12">
        <f t="shared" si="15"/>
        <v>7800</v>
      </c>
      <c r="M379" s="13">
        <v>0</v>
      </c>
      <c r="N379" s="12">
        <f t="shared" si="16"/>
        <v>0</v>
      </c>
      <c r="O379" s="12">
        <f t="shared" si="17"/>
        <v>7800</v>
      </c>
    </row>
    <row r="380" spans="1:15">
      <c r="A380" s="2" t="s">
        <v>583</v>
      </c>
      <c r="B380" s="3">
        <v>45384</v>
      </c>
      <c r="C380" s="4">
        <v>2024</v>
      </c>
      <c r="D380" s="2" t="s">
        <v>30</v>
      </c>
      <c r="E380" s="2" t="s">
        <v>24</v>
      </c>
      <c r="F380" s="2" t="s">
        <v>25</v>
      </c>
      <c r="G380" s="2" t="s">
        <v>64</v>
      </c>
      <c r="H380" s="2" t="s">
        <v>127</v>
      </c>
      <c r="I380" s="2" t="s">
        <v>317</v>
      </c>
      <c r="J380" s="5">
        <v>3</v>
      </c>
      <c r="K380" s="6">
        <v>2850</v>
      </c>
      <c r="L380" s="6">
        <f t="shared" si="15"/>
        <v>8550</v>
      </c>
      <c r="M380" s="7">
        <v>0</v>
      </c>
      <c r="N380" s="6">
        <f t="shared" si="16"/>
        <v>0</v>
      </c>
      <c r="O380" s="6">
        <f t="shared" si="17"/>
        <v>8550</v>
      </c>
    </row>
    <row r="381" spans="1:15">
      <c r="A381" s="8" t="s">
        <v>584</v>
      </c>
      <c r="B381" s="9">
        <v>45609</v>
      </c>
      <c r="C381" s="10">
        <v>2024</v>
      </c>
      <c r="D381" s="8" t="s">
        <v>41</v>
      </c>
      <c r="E381" s="8" t="s">
        <v>35</v>
      </c>
      <c r="F381" s="8" t="s">
        <v>36</v>
      </c>
      <c r="G381" s="8" t="s">
        <v>53</v>
      </c>
      <c r="H381" s="8" t="s">
        <v>285</v>
      </c>
      <c r="I381" s="8" t="s">
        <v>286</v>
      </c>
      <c r="J381" s="11">
        <v>1</v>
      </c>
      <c r="K381" s="12">
        <v>3600</v>
      </c>
      <c r="L381" s="12">
        <f t="shared" si="15"/>
        <v>3600</v>
      </c>
      <c r="M381" s="13">
        <v>0</v>
      </c>
      <c r="N381" s="12">
        <f t="shared" si="16"/>
        <v>0</v>
      </c>
      <c r="O381" s="12">
        <f t="shared" si="17"/>
        <v>3600</v>
      </c>
    </row>
    <row r="382" spans="1:15">
      <c r="A382" s="2" t="s">
        <v>585</v>
      </c>
      <c r="B382" s="3">
        <v>45832</v>
      </c>
      <c r="C382" s="4">
        <v>2025</v>
      </c>
      <c r="D382" s="2" t="s">
        <v>100</v>
      </c>
      <c r="E382" s="2" t="s">
        <v>17</v>
      </c>
      <c r="F382" s="2" t="s">
        <v>18</v>
      </c>
      <c r="G382" s="2" t="s">
        <v>37</v>
      </c>
      <c r="H382" s="2" t="s">
        <v>49</v>
      </c>
      <c r="I382" s="2" t="s">
        <v>164</v>
      </c>
      <c r="J382" s="5">
        <v>3</v>
      </c>
      <c r="K382" s="6">
        <v>1350</v>
      </c>
      <c r="L382" s="6">
        <f t="shared" si="15"/>
        <v>4050</v>
      </c>
      <c r="M382" s="7">
        <v>7.8E-2</v>
      </c>
      <c r="N382" s="6">
        <f t="shared" si="16"/>
        <v>315.89999999999998</v>
      </c>
      <c r="O382" s="6">
        <f t="shared" si="17"/>
        <v>3734.1</v>
      </c>
    </row>
    <row r="383" spans="1:15">
      <c r="A383" s="8" t="s">
        <v>586</v>
      </c>
      <c r="B383" s="9">
        <v>45602</v>
      </c>
      <c r="C383" s="10">
        <v>2024</v>
      </c>
      <c r="D383" s="8" t="s">
        <v>41</v>
      </c>
      <c r="E383" s="8" t="s">
        <v>42</v>
      </c>
      <c r="F383" s="8" t="s">
        <v>43</v>
      </c>
      <c r="G383" s="8" t="s">
        <v>37</v>
      </c>
      <c r="H383" s="8" t="s">
        <v>38</v>
      </c>
      <c r="I383" s="8" t="s">
        <v>89</v>
      </c>
      <c r="J383" s="11">
        <v>3</v>
      </c>
      <c r="K383" s="12">
        <v>1700</v>
      </c>
      <c r="L383" s="12">
        <f t="shared" si="15"/>
        <v>5100</v>
      </c>
      <c r="M383" s="13">
        <v>1.2E-2</v>
      </c>
      <c r="N383" s="12">
        <f t="shared" si="16"/>
        <v>61.2</v>
      </c>
      <c r="O383" s="12">
        <f t="shared" si="17"/>
        <v>5038.8</v>
      </c>
    </row>
    <row r="384" spans="1:15">
      <c r="A384" s="2" t="s">
        <v>587</v>
      </c>
      <c r="B384" s="3">
        <v>45370</v>
      </c>
      <c r="C384" s="4">
        <v>2024</v>
      </c>
      <c r="D384" s="2" t="s">
        <v>78</v>
      </c>
      <c r="E384" s="2" t="s">
        <v>24</v>
      </c>
      <c r="F384" s="2" t="s">
        <v>25</v>
      </c>
      <c r="G384" s="2" t="s">
        <v>19</v>
      </c>
      <c r="H384" s="2" t="s">
        <v>116</v>
      </c>
      <c r="I384" s="2" t="s">
        <v>156</v>
      </c>
      <c r="J384" s="5">
        <v>1</v>
      </c>
      <c r="K384" s="6">
        <v>2400</v>
      </c>
      <c r="L384" s="6">
        <f t="shared" si="15"/>
        <v>2400</v>
      </c>
      <c r="M384" s="7">
        <v>4.0000000000000001E-3</v>
      </c>
      <c r="N384" s="6">
        <f t="shared" si="16"/>
        <v>9.6</v>
      </c>
      <c r="O384" s="6">
        <f t="shared" si="17"/>
        <v>2390.4</v>
      </c>
    </row>
    <row r="385" spans="1:15">
      <c r="A385" s="8" t="s">
        <v>588</v>
      </c>
      <c r="B385" s="9">
        <v>45859</v>
      </c>
      <c r="C385" s="10">
        <v>2025</v>
      </c>
      <c r="D385" s="8" t="s">
        <v>68</v>
      </c>
      <c r="E385" s="8" t="s">
        <v>24</v>
      </c>
      <c r="F385" s="8" t="s">
        <v>25</v>
      </c>
      <c r="G385" s="8" t="s">
        <v>37</v>
      </c>
      <c r="H385" s="8" t="s">
        <v>91</v>
      </c>
      <c r="I385" s="8" t="s">
        <v>430</v>
      </c>
      <c r="J385" s="11">
        <v>1</v>
      </c>
      <c r="K385" s="12">
        <v>1650</v>
      </c>
      <c r="L385" s="12">
        <f t="shared" si="15"/>
        <v>1650</v>
      </c>
      <c r="M385" s="13">
        <v>0</v>
      </c>
      <c r="N385" s="12">
        <f t="shared" si="16"/>
        <v>0</v>
      </c>
      <c r="O385" s="12">
        <f t="shared" si="17"/>
        <v>1650</v>
      </c>
    </row>
    <row r="386" spans="1:15">
      <c r="A386" s="2" t="s">
        <v>589</v>
      </c>
      <c r="B386" s="3">
        <v>45672</v>
      </c>
      <c r="C386" s="4">
        <v>2025</v>
      </c>
      <c r="D386" s="2" t="s">
        <v>169</v>
      </c>
      <c r="E386" s="2" t="s">
        <v>17</v>
      </c>
      <c r="F386" s="2" t="s">
        <v>18</v>
      </c>
      <c r="G386" s="2" t="s">
        <v>64</v>
      </c>
      <c r="H386" s="2" t="s">
        <v>97</v>
      </c>
      <c r="I386" s="2" t="s">
        <v>134</v>
      </c>
      <c r="J386" s="5">
        <v>2</v>
      </c>
      <c r="K386" s="6">
        <v>2050</v>
      </c>
      <c r="L386" s="6">
        <f t="shared" ref="L386:L449" si="18">J386*K386</f>
        <v>4100</v>
      </c>
      <c r="M386" s="7">
        <v>0.28699999999999998</v>
      </c>
      <c r="N386" s="6">
        <f t="shared" ref="N386:N449" si="19">L386*M386</f>
        <v>1176.6999999999998</v>
      </c>
      <c r="O386" s="6">
        <f t="shared" ref="O386:O449" si="20">L386-N386</f>
        <v>2923.3</v>
      </c>
    </row>
    <row r="387" spans="1:15">
      <c r="A387" s="8" t="s">
        <v>590</v>
      </c>
      <c r="B387" s="9">
        <v>45926</v>
      </c>
      <c r="C387" s="10">
        <v>2025</v>
      </c>
      <c r="D387" s="8" t="s">
        <v>123</v>
      </c>
      <c r="E387" s="8" t="s">
        <v>17</v>
      </c>
      <c r="F387" s="8" t="s">
        <v>18</v>
      </c>
      <c r="G387" s="8" t="s">
        <v>37</v>
      </c>
      <c r="H387" s="8" t="s">
        <v>38</v>
      </c>
      <c r="I387" s="8" t="s">
        <v>89</v>
      </c>
      <c r="J387" s="11">
        <v>1</v>
      </c>
      <c r="K387" s="12">
        <v>3200</v>
      </c>
      <c r="L387" s="12">
        <f t="shared" si="18"/>
        <v>3200</v>
      </c>
      <c r="M387" s="13">
        <v>0</v>
      </c>
      <c r="N387" s="12">
        <f t="shared" si="19"/>
        <v>0</v>
      </c>
      <c r="O387" s="12">
        <f t="shared" si="20"/>
        <v>3200</v>
      </c>
    </row>
    <row r="388" spans="1:15">
      <c r="A388" s="2" t="s">
        <v>591</v>
      </c>
      <c r="B388" s="3">
        <v>45696</v>
      </c>
      <c r="C388" s="4">
        <v>2025</v>
      </c>
      <c r="D388" s="2" t="s">
        <v>23</v>
      </c>
      <c r="E388" s="2" t="s">
        <v>42</v>
      </c>
      <c r="F388" s="2" t="s">
        <v>43</v>
      </c>
      <c r="G388" s="2" t="s">
        <v>64</v>
      </c>
      <c r="H388" s="2" t="s">
        <v>127</v>
      </c>
      <c r="I388" s="2" t="s">
        <v>255</v>
      </c>
      <c r="J388" s="5">
        <v>1</v>
      </c>
      <c r="K388" s="6">
        <v>1500</v>
      </c>
      <c r="L388" s="6">
        <f t="shared" si="18"/>
        <v>1500</v>
      </c>
      <c r="M388" s="7">
        <v>0</v>
      </c>
      <c r="N388" s="6">
        <f t="shared" si="19"/>
        <v>0</v>
      </c>
      <c r="O388" s="6">
        <f t="shared" si="20"/>
        <v>1500</v>
      </c>
    </row>
    <row r="389" spans="1:15">
      <c r="A389" s="8" t="s">
        <v>592</v>
      </c>
      <c r="B389" s="9">
        <v>45963</v>
      </c>
      <c r="C389" s="10">
        <v>2025</v>
      </c>
      <c r="D389" s="8" t="s">
        <v>41</v>
      </c>
      <c r="E389" s="8" t="s">
        <v>42</v>
      </c>
      <c r="F389" s="8" t="s">
        <v>43</v>
      </c>
      <c r="G389" s="8" t="s">
        <v>64</v>
      </c>
      <c r="H389" s="8" t="s">
        <v>127</v>
      </c>
      <c r="I389" s="8" t="s">
        <v>479</v>
      </c>
      <c r="J389" s="11">
        <v>1</v>
      </c>
      <c r="K389" s="12">
        <v>4050</v>
      </c>
      <c r="L389" s="12">
        <f t="shared" si="18"/>
        <v>4050</v>
      </c>
      <c r="M389" s="13">
        <v>6.4000000000000001E-2</v>
      </c>
      <c r="N389" s="12">
        <f t="shared" si="19"/>
        <v>259.2</v>
      </c>
      <c r="O389" s="12">
        <f t="shared" si="20"/>
        <v>3790.8</v>
      </c>
    </row>
    <row r="390" spans="1:15">
      <c r="A390" s="2" t="s">
        <v>593</v>
      </c>
      <c r="B390" s="3">
        <v>45169</v>
      </c>
      <c r="C390" s="4">
        <v>2023</v>
      </c>
      <c r="D390" s="2" t="s">
        <v>52</v>
      </c>
      <c r="E390" s="2" t="s">
        <v>35</v>
      </c>
      <c r="F390" s="2" t="s">
        <v>36</v>
      </c>
      <c r="G390" s="2" t="s">
        <v>44</v>
      </c>
      <c r="H390" s="2" t="s">
        <v>45</v>
      </c>
      <c r="I390" s="2" t="s">
        <v>46</v>
      </c>
      <c r="J390" s="5">
        <v>2</v>
      </c>
      <c r="K390" s="6">
        <v>900</v>
      </c>
      <c r="L390" s="6">
        <f t="shared" si="18"/>
        <v>1800</v>
      </c>
      <c r="M390" s="7">
        <v>3.4000000000000002E-2</v>
      </c>
      <c r="N390" s="6">
        <f t="shared" si="19"/>
        <v>61.2</v>
      </c>
      <c r="O390" s="6">
        <f t="shared" si="20"/>
        <v>1738.8</v>
      </c>
    </row>
    <row r="391" spans="1:15">
      <c r="A391" s="8" t="s">
        <v>594</v>
      </c>
      <c r="B391" s="9">
        <v>45822</v>
      </c>
      <c r="C391" s="10">
        <v>2025</v>
      </c>
      <c r="D391" s="8" t="s">
        <v>100</v>
      </c>
      <c r="E391" s="8" t="s">
        <v>35</v>
      </c>
      <c r="F391" s="8" t="s">
        <v>36</v>
      </c>
      <c r="G391" s="8" t="s">
        <v>53</v>
      </c>
      <c r="H391" s="8" t="s">
        <v>54</v>
      </c>
      <c r="I391" s="8" t="s">
        <v>595</v>
      </c>
      <c r="J391" s="11">
        <v>2</v>
      </c>
      <c r="K391" s="12">
        <v>2900</v>
      </c>
      <c r="L391" s="12">
        <f t="shared" si="18"/>
        <v>5800</v>
      </c>
      <c r="M391" s="13">
        <v>0</v>
      </c>
      <c r="N391" s="12">
        <f t="shared" si="19"/>
        <v>0</v>
      </c>
      <c r="O391" s="12">
        <f t="shared" si="20"/>
        <v>5800</v>
      </c>
    </row>
    <row r="392" spans="1:15">
      <c r="A392" s="2" t="s">
        <v>596</v>
      </c>
      <c r="B392" s="3">
        <v>45099</v>
      </c>
      <c r="C392" s="4">
        <v>2023</v>
      </c>
      <c r="D392" s="2" t="s">
        <v>100</v>
      </c>
      <c r="E392" s="2" t="s">
        <v>35</v>
      </c>
      <c r="F392" s="2" t="s">
        <v>36</v>
      </c>
      <c r="G392" s="2" t="s">
        <v>44</v>
      </c>
      <c r="H392" s="2" t="s">
        <v>61</v>
      </c>
      <c r="I392" s="2" t="s">
        <v>232</v>
      </c>
      <c r="J392" s="5">
        <v>1</v>
      </c>
      <c r="K392" s="6">
        <v>490</v>
      </c>
      <c r="L392" s="6">
        <f t="shared" si="18"/>
        <v>490</v>
      </c>
      <c r="M392" s="7">
        <v>0</v>
      </c>
      <c r="N392" s="6">
        <f t="shared" si="19"/>
        <v>0</v>
      </c>
      <c r="O392" s="6">
        <f t="shared" si="20"/>
        <v>490</v>
      </c>
    </row>
    <row r="393" spans="1:15">
      <c r="A393" s="8" t="s">
        <v>597</v>
      </c>
      <c r="B393" s="9">
        <v>45294</v>
      </c>
      <c r="C393" s="10">
        <v>2024</v>
      </c>
      <c r="D393" s="8" t="s">
        <v>169</v>
      </c>
      <c r="E393" s="8" t="s">
        <v>24</v>
      </c>
      <c r="F393" s="8" t="s">
        <v>25</v>
      </c>
      <c r="G393" s="8" t="s">
        <v>31</v>
      </c>
      <c r="H393" s="8" t="s">
        <v>32</v>
      </c>
      <c r="I393" s="8" t="s">
        <v>257</v>
      </c>
      <c r="J393" s="11">
        <v>4</v>
      </c>
      <c r="K393" s="12">
        <v>650</v>
      </c>
      <c r="L393" s="12">
        <f t="shared" si="18"/>
        <v>2600</v>
      </c>
      <c r="M393" s="13">
        <v>0</v>
      </c>
      <c r="N393" s="12">
        <f t="shared" si="19"/>
        <v>0</v>
      </c>
      <c r="O393" s="12">
        <f t="shared" si="20"/>
        <v>2600</v>
      </c>
    </row>
    <row r="394" spans="1:15">
      <c r="A394" s="2" t="s">
        <v>598</v>
      </c>
      <c r="B394" s="3">
        <v>45692</v>
      </c>
      <c r="C394" s="4">
        <v>2025</v>
      </c>
      <c r="D394" s="2" t="s">
        <v>23</v>
      </c>
      <c r="E394" s="2" t="s">
        <v>35</v>
      </c>
      <c r="F394" s="2" t="s">
        <v>36</v>
      </c>
      <c r="G394" s="2" t="s">
        <v>19</v>
      </c>
      <c r="H394" s="2" t="s">
        <v>141</v>
      </c>
      <c r="I394" s="2" t="s">
        <v>283</v>
      </c>
      <c r="J394" s="5">
        <v>1</v>
      </c>
      <c r="K394" s="6">
        <v>2000</v>
      </c>
      <c r="L394" s="6">
        <f t="shared" si="18"/>
        <v>2000</v>
      </c>
      <c r="M394" s="7">
        <v>0</v>
      </c>
      <c r="N394" s="6">
        <f t="shared" si="19"/>
        <v>0</v>
      </c>
      <c r="O394" s="6">
        <f t="shared" si="20"/>
        <v>2000</v>
      </c>
    </row>
    <row r="395" spans="1:15">
      <c r="A395" s="8" t="s">
        <v>599</v>
      </c>
      <c r="B395" s="9">
        <v>45114</v>
      </c>
      <c r="C395" s="10">
        <v>2023</v>
      </c>
      <c r="D395" s="8" t="s">
        <v>68</v>
      </c>
      <c r="E395" s="8" t="s">
        <v>17</v>
      </c>
      <c r="F395" s="8" t="s">
        <v>18</v>
      </c>
      <c r="G395" s="8" t="s">
        <v>19</v>
      </c>
      <c r="H395" s="8" t="s">
        <v>20</v>
      </c>
      <c r="I395" s="8" t="s">
        <v>120</v>
      </c>
      <c r="J395" s="11">
        <v>3</v>
      </c>
      <c r="K395" s="12">
        <v>300</v>
      </c>
      <c r="L395" s="12">
        <f t="shared" si="18"/>
        <v>900</v>
      </c>
      <c r="M395" s="13">
        <v>3.0000000000000001E-3</v>
      </c>
      <c r="N395" s="12">
        <f t="shared" si="19"/>
        <v>2.7</v>
      </c>
      <c r="O395" s="12">
        <f t="shared" si="20"/>
        <v>897.3</v>
      </c>
    </row>
    <row r="396" spans="1:15">
      <c r="A396" s="2" t="s">
        <v>600</v>
      </c>
      <c r="B396" s="3">
        <v>45740</v>
      </c>
      <c r="C396" s="4">
        <v>2025</v>
      </c>
      <c r="D396" s="2" t="s">
        <v>78</v>
      </c>
      <c r="E396" s="2" t="s">
        <v>42</v>
      </c>
      <c r="F396" s="2" t="s">
        <v>43</v>
      </c>
      <c r="G396" s="2" t="s">
        <v>64</v>
      </c>
      <c r="H396" s="2" t="s">
        <v>94</v>
      </c>
      <c r="I396" s="2" t="s">
        <v>601</v>
      </c>
      <c r="J396" s="5">
        <v>1</v>
      </c>
      <c r="K396" s="6">
        <v>3200</v>
      </c>
      <c r="L396" s="6">
        <f t="shared" si="18"/>
        <v>3200</v>
      </c>
      <c r="M396" s="7">
        <v>0.249</v>
      </c>
      <c r="N396" s="6">
        <f t="shared" si="19"/>
        <v>796.8</v>
      </c>
      <c r="O396" s="6">
        <f t="shared" si="20"/>
        <v>2403.1999999999998</v>
      </c>
    </row>
    <row r="397" spans="1:15">
      <c r="A397" s="8" t="s">
        <v>602</v>
      </c>
      <c r="B397" s="9">
        <v>44947</v>
      </c>
      <c r="C397" s="10">
        <v>2023</v>
      </c>
      <c r="D397" s="8" t="s">
        <v>169</v>
      </c>
      <c r="E397" s="8" t="s">
        <v>24</v>
      </c>
      <c r="F397" s="8" t="s">
        <v>25</v>
      </c>
      <c r="G397" s="8" t="s">
        <v>26</v>
      </c>
      <c r="H397" s="8" t="s">
        <v>110</v>
      </c>
      <c r="I397" s="8" t="s">
        <v>111</v>
      </c>
      <c r="J397" s="11">
        <v>1</v>
      </c>
      <c r="K397" s="12">
        <v>43000</v>
      </c>
      <c r="L397" s="12">
        <f t="shared" si="18"/>
        <v>43000</v>
      </c>
      <c r="M397" s="13">
        <v>0</v>
      </c>
      <c r="N397" s="12">
        <f t="shared" si="19"/>
        <v>0</v>
      </c>
      <c r="O397" s="12">
        <f t="shared" si="20"/>
        <v>43000</v>
      </c>
    </row>
    <row r="398" spans="1:15">
      <c r="A398" s="2" t="s">
        <v>603</v>
      </c>
      <c r="B398" s="3">
        <v>45828</v>
      </c>
      <c r="C398" s="4">
        <v>2025</v>
      </c>
      <c r="D398" s="2" t="s">
        <v>100</v>
      </c>
      <c r="E398" s="2" t="s">
        <v>35</v>
      </c>
      <c r="F398" s="2" t="s">
        <v>36</v>
      </c>
      <c r="G398" s="2" t="s">
        <v>31</v>
      </c>
      <c r="H398" s="2" t="s">
        <v>32</v>
      </c>
      <c r="I398" s="2" t="s">
        <v>198</v>
      </c>
      <c r="J398" s="5">
        <v>4</v>
      </c>
      <c r="K398" s="6">
        <v>700</v>
      </c>
      <c r="L398" s="6">
        <f t="shared" si="18"/>
        <v>2800</v>
      </c>
      <c r="M398" s="7">
        <v>0</v>
      </c>
      <c r="N398" s="6">
        <f t="shared" si="19"/>
        <v>0</v>
      </c>
      <c r="O398" s="6">
        <f t="shared" si="20"/>
        <v>2800</v>
      </c>
    </row>
    <row r="399" spans="1:15">
      <c r="A399" s="8" t="s">
        <v>604</v>
      </c>
      <c r="B399" s="9">
        <v>45784</v>
      </c>
      <c r="C399" s="10">
        <v>2025</v>
      </c>
      <c r="D399" s="8" t="s">
        <v>48</v>
      </c>
      <c r="E399" s="8" t="s">
        <v>35</v>
      </c>
      <c r="F399" s="8" t="s">
        <v>36</v>
      </c>
      <c r="G399" s="8" t="s">
        <v>19</v>
      </c>
      <c r="H399" s="8" t="s">
        <v>271</v>
      </c>
      <c r="I399" s="8" t="s">
        <v>605</v>
      </c>
      <c r="J399" s="11">
        <v>5</v>
      </c>
      <c r="K399" s="12">
        <v>2400</v>
      </c>
      <c r="L399" s="12">
        <f t="shared" si="18"/>
        <v>12000</v>
      </c>
      <c r="M399" s="13">
        <v>0</v>
      </c>
      <c r="N399" s="12">
        <f t="shared" si="19"/>
        <v>0</v>
      </c>
      <c r="O399" s="12">
        <f t="shared" si="20"/>
        <v>12000</v>
      </c>
    </row>
    <row r="400" spans="1:15">
      <c r="A400" s="2" t="s">
        <v>606</v>
      </c>
      <c r="B400" s="3">
        <v>45782</v>
      </c>
      <c r="C400" s="4">
        <v>2025</v>
      </c>
      <c r="D400" s="2" t="s">
        <v>48</v>
      </c>
      <c r="E400" s="2" t="s">
        <v>24</v>
      </c>
      <c r="F400" s="2" t="s">
        <v>25</v>
      </c>
      <c r="G400" s="2" t="s">
        <v>64</v>
      </c>
      <c r="H400" s="2" t="s">
        <v>127</v>
      </c>
      <c r="I400" s="2" t="s">
        <v>128</v>
      </c>
      <c r="J400" s="5">
        <v>1</v>
      </c>
      <c r="K400" s="6">
        <v>3650</v>
      </c>
      <c r="L400" s="6">
        <f t="shared" si="18"/>
        <v>3650</v>
      </c>
      <c r="M400" s="7">
        <v>0</v>
      </c>
      <c r="N400" s="6">
        <f t="shared" si="19"/>
        <v>0</v>
      </c>
      <c r="O400" s="6">
        <f t="shared" si="20"/>
        <v>3650</v>
      </c>
    </row>
    <row r="401" spans="1:15">
      <c r="A401" s="8" t="s">
        <v>607</v>
      </c>
      <c r="B401" s="9">
        <v>45550</v>
      </c>
      <c r="C401" s="10">
        <v>2024</v>
      </c>
      <c r="D401" s="8" t="s">
        <v>123</v>
      </c>
      <c r="E401" s="8" t="s">
        <v>24</v>
      </c>
      <c r="F401" s="8" t="s">
        <v>25</v>
      </c>
      <c r="G401" s="8" t="s">
        <v>19</v>
      </c>
      <c r="H401" s="8" t="s">
        <v>69</v>
      </c>
      <c r="I401" s="8" t="s">
        <v>315</v>
      </c>
      <c r="J401" s="11">
        <v>4</v>
      </c>
      <c r="K401" s="12">
        <v>750</v>
      </c>
      <c r="L401" s="12">
        <f t="shared" si="18"/>
        <v>3000</v>
      </c>
      <c r="M401" s="13">
        <v>0.01</v>
      </c>
      <c r="N401" s="12">
        <f t="shared" si="19"/>
        <v>30</v>
      </c>
      <c r="O401" s="12">
        <f t="shared" si="20"/>
        <v>2970</v>
      </c>
    </row>
    <row r="402" spans="1:15">
      <c r="A402" s="2" t="s">
        <v>608</v>
      </c>
      <c r="B402" s="3">
        <v>45343</v>
      </c>
      <c r="C402" s="4">
        <v>2024</v>
      </c>
      <c r="D402" s="2" t="s">
        <v>23</v>
      </c>
      <c r="E402" s="2" t="s">
        <v>35</v>
      </c>
      <c r="F402" s="2" t="s">
        <v>36</v>
      </c>
      <c r="G402" s="2" t="s">
        <v>19</v>
      </c>
      <c r="H402" s="2" t="s">
        <v>20</v>
      </c>
      <c r="I402" s="2" t="s">
        <v>540</v>
      </c>
      <c r="J402" s="5">
        <v>2</v>
      </c>
      <c r="K402" s="6">
        <v>800</v>
      </c>
      <c r="L402" s="6">
        <f t="shared" si="18"/>
        <v>1600</v>
      </c>
      <c r="M402" s="7">
        <v>7.8E-2</v>
      </c>
      <c r="N402" s="6">
        <f t="shared" si="19"/>
        <v>124.8</v>
      </c>
      <c r="O402" s="6">
        <f t="shared" si="20"/>
        <v>1475.2</v>
      </c>
    </row>
    <row r="403" spans="1:15">
      <c r="A403" s="8" t="s">
        <v>609</v>
      </c>
      <c r="B403" s="9">
        <v>45326</v>
      </c>
      <c r="C403" s="10">
        <v>2024</v>
      </c>
      <c r="D403" s="8" t="s">
        <v>23</v>
      </c>
      <c r="E403" s="8" t="s">
        <v>35</v>
      </c>
      <c r="F403" s="8" t="s">
        <v>36</v>
      </c>
      <c r="G403" s="8" t="s">
        <v>26</v>
      </c>
      <c r="H403" s="8" t="s">
        <v>101</v>
      </c>
      <c r="I403" s="8" t="s">
        <v>235</v>
      </c>
      <c r="J403" s="11">
        <v>1</v>
      </c>
      <c r="K403" s="12">
        <v>24000</v>
      </c>
      <c r="L403" s="12">
        <f t="shared" si="18"/>
        <v>24000</v>
      </c>
      <c r="M403" s="13">
        <v>0</v>
      </c>
      <c r="N403" s="12">
        <f t="shared" si="19"/>
        <v>0</v>
      </c>
      <c r="O403" s="12">
        <f t="shared" si="20"/>
        <v>24000</v>
      </c>
    </row>
    <row r="404" spans="1:15">
      <c r="A404" s="2" t="s">
        <v>610</v>
      </c>
      <c r="B404" s="3">
        <v>45836</v>
      </c>
      <c r="C404" s="4">
        <v>2025</v>
      </c>
      <c r="D404" s="2" t="s">
        <v>100</v>
      </c>
      <c r="E404" s="2" t="s">
        <v>42</v>
      </c>
      <c r="F404" s="2" t="s">
        <v>43</v>
      </c>
      <c r="G404" s="2" t="s">
        <v>19</v>
      </c>
      <c r="H404" s="2" t="s">
        <v>20</v>
      </c>
      <c r="I404" s="2" t="s">
        <v>250</v>
      </c>
      <c r="J404" s="5">
        <v>4</v>
      </c>
      <c r="K404" s="6">
        <v>1200</v>
      </c>
      <c r="L404" s="6">
        <f t="shared" si="18"/>
        <v>4800</v>
      </c>
      <c r="M404" s="7">
        <v>5.1999999999999998E-2</v>
      </c>
      <c r="N404" s="6">
        <f t="shared" si="19"/>
        <v>249.6</v>
      </c>
      <c r="O404" s="6">
        <f t="shared" si="20"/>
        <v>4550.3999999999996</v>
      </c>
    </row>
    <row r="405" spans="1:15">
      <c r="A405" s="8" t="s">
        <v>611</v>
      </c>
      <c r="B405" s="9">
        <v>45425</v>
      </c>
      <c r="C405" s="10">
        <v>2024</v>
      </c>
      <c r="D405" s="8" t="s">
        <v>48</v>
      </c>
      <c r="E405" s="8" t="s">
        <v>24</v>
      </c>
      <c r="F405" s="8" t="s">
        <v>25</v>
      </c>
      <c r="G405" s="8" t="s">
        <v>64</v>
      </c>
      <c r="H405" s="8" t="s">
        <v>65</v>
      </c>
      <c r="I405" s="8" t="s">
        <v>73</v>
      </c>
      <c r="J405" s="11">
        <v>3</v>
      </c>
      <c r="K405" s="12">
        <v>4200</v>
      </c>
      <c r="L405" s="12">
        <f t="shared" si="18"/>
        <v>12600</v>
      </c>
      <c r="M405" s="13">
        <v>0</v>
      </c>
      <c r="N405" s="12">
        <f t="shared" si="19"/>
        <v>0</v>
      </c>
      <c r="O405" s="12">
        <f t="shared" si="20"/>
        <v>12600</v>
      </c>
    </row>
    <row r="406" spans="1:15">
      <c r="A406" s="2" t="s">
        <v>612</v>
      </c>
      <c r="B406" s="3">
        <v>45440</v>
      </c>
      <c r="C406" s="4">
        <v>2024</v>
      </c>
      <c r="D406" s="2" t="s">
        <v>48</v>
      </c>
      <c r="E406" s="2" t="s">
        <v>24</v>
      </c>
      <c r="F406" s="2" t="s">
        <v>25</v>
      </c>
      <c r="G406" s="2" t="s">
        <v>31</v>
      </c>
      <c r="H406" s="2" t="s">
        <v>124</v>
      </c>
      <c r="I406" s="2" t="s">
        <v>125</v>
      </c>
      <c r="J406" s="5">
        <v>3</v>
      </c>
      <c r="K406" s="6">
        <v>800</v>
      </c>
      <c r="L406" s="6">
        <f t="shared" si="18"/>
        <v>2400</v>
      </c>
      <c r="M406" s="7">
        <v>2.1000000000000001E-2</v>
      </c>
      <c r="N406" s="6">
        <f t="shared" si="19"/>
        <v>50.400000000000006</v>
      </c>
      <c r="O406" s="6">
        <f t="shared" si="20"/>
        <v>2349.6</v>
      </c>
    </row>
    <row r="407" spans="1:15">
      <c r="A407" s="8" t="s">
        <v>613</v>
      </c>
      <c r="B407" s="9">
        <v>45510</v>
      </c>
      <c r="C407" s="10">
        <v>2024</v>
      </c>
      <c r="D407" s="8" t="s">
        <v>52</v>
      </c>
      <c r="E407" s="8" t="s">
        <v>42</v>
      </c>
      <c r="F407" s="8" t="s">
        <v>43</v>
      </c>
      <c r="G407" s="8" t="s">
        <v>19</v>
      </c>
      <c r="H407" s="8" t="s">
        <v>141</v>
      </c>
      <c r="I407" s="8" t="s">
        <v>283</v>
      </c>
      <c r="J407" s="11">
        <v>3</v>
      </c>
      <c r="K407" s="12">
        <v>2500</v>
      </c>
      <c r="L407" s="12">
        <f t="shared" si="18"/>
        <v>7500</v>
      </c>
      <c r="M407" s="13">
        <v>3.9E-2</v>
      </c>
      <c r="N407" s="12">
        <f t="shared" si="19"/>
        <v>292.5</v>
      </c>
      <c r="O407" s="12">
        <f t="shared" si="20"/>
        <v>7207.5</v>
      </c>
    </row>
    <row r="408" spans="1:15">
      <c r="A408" s="2" t="s">
        <v>614</v>
      </c>
      <c r="B408" s="3">
        <v>45222</v>
      </c>
      <c r="C408" s="4">
        <v>2023</v>
      </c>
      <c r="D408" s="2" t="s">
        <v>72</v>
      </c>
      <c r="E408" s="2" t="s">
        <v>17</v>
      </c>
      <c r="F408" s="2" t="s">
        <v>18</v>
      </c>
      <c r="G408" s="2" t="s">
        <v>44</v>
      </c>
      <c r="H408" s="2" t="s">
        <v>223</v>
      </c>
      <c r="I408" s="2" t="s">
        <v>297</v>
      </c>
      <c r="J408" s="5">
        <v>1</v>
      </c>
      <c r="K408" s="6">
        <v>1400</v>
      </c>
      <c r="L408" s="6">
        <f t="shared" si="18"/>
        <v>1400</v>
      </c>
      <c r="M408" s="7">
        <v>1.2E-2</v>
      </c>
      <c r="N408" s="6">
        <f t="shared" si="19"/>
        <v>16.8</v>
      </c>
      <c r="O408" s="6">
        <f t="shared" si="20"/>
        <v>1383.2</v>
      </c>
    </row>
    <row r="409" spans="1:15">
      <c r="A409" s="8" t="s">
        <v>615</v>
      </c>
      <c r="B409" s="9">
        <v>45094</v>
      </c>
      <c r="C409" s="10">
        <v>2023</v>
      </c>
      <c r="D409" s="8" t="s">
        <v>100</v>
      </c>
      <c r="E409" s="8" t="s">
        <v>42</v>
      </c>
      <c r="F409" s="8" t="s">
        <v>43</v>
      </c>
      <c r="G409" s="8" t="s">
        <v>44</v>
      </c>
      <c r="H409" s="8" t="s">
        <v>176</v>
      </c>
      <c r="I409" s="8" t="s">
        <v>453</v>
      </c>
      <c r="J409" s="11">
        <v>5</v>
      </c>
      <c r="K409" s="12">
        <v>1000</v>
      </c>
      <c r="L409" s="12">
        <f t="shared" si="18"/>
        <v>5000</v>
      </c>
      <c r="M409" s="13">
        <v>0</v>
      </c>
      <c r="N409" s="12">
        <f t="shared" si="19"/>
        <v>0</v>
      </c>
      <c r="O409" s="12">
        <f t="shared" si="20"/>
        <v>5000</v>
      </c>
    </row>
    <row r="410" spans="1:15">
      <c r="A410" s="2" t="s">
        <v>616</v>
      </c>
      <c r="B410" s="3">
        <v>45252</v>
      </c>
      <c r="C410" s="4">
        <v>2023</v>
      </c>
      <c r="D410" s="2" t="s">
        <v>41</v>
      </c>
      <c r="E410" s="2" t="s">
        <v>42</v>
      </c>
      <c r="F410" s="2" t="s">
        <v>43</v>
      </c>
      <c r="G410" s="2" t="s">
        <v>64</v>
      </c>
      <c r="H410" s="2" t="s">
        <v>94</v>
      </c>
      <c r="I410" s="2" t="s">
        <v>170</v>
      </c>
      <c r="J410" s="5">
        <v>1</v>
      </c>
      <c r="K410" s="6">
        <v>3400</v>
      </c>
      <c r="L410" s="6">
        <f t="shared" si="18"/>
        <v>3400</v>
      </c>
      <c r="M410" s="7">
        <v>0</v>
      </c>
      <c r="N410" s="6">
        <f t="shared" si="19"/>
        <v>0</v>
      </c>
      <c r="O410" s="6">
        <f t="shared" si="20"/>
        <v>3400</v>
      </c>
    </row>
    <row r="411" spans="1:15">
      <c r="A411" s="8" t="s">
        <v>617</v>
      </c>
      <c r="B411" s="9">
        <v>45080</v>
      </c>
      <c r="C411" s="10">
        <v>2023</v>
      </c>
      <c r="D411" s="8" t="s">
        <v>100</v>
      </c>
      <c r="E411" s="8" t="s">
        <v>17</v>
      </c>
      <c r="F411" s="8" t="s">
        <v>18</v>
      </c>
      <c r="G411" s="8" t="s">
        <v>53</v>
      </c>
      <c r="H411" s="8" t="s">
        <v>136</v>
      </c>
      <c r="I411" s="8" t="s">
        <v>245</v>
      </c>
      <c r="J411" s="11">
        <v>1</v>
      </c>
      <c r="K411" s="12">
        <v>2250</v>
      </c>
      <c r="L411" s="12">
        <f t="shared" si="18"/>
        <v>2250</v>
      </c>
      <c r="M411" s="13">
        <v>6.4000000000000001E-2</v>
      </c>
      <c r="N411" s="12">
        <f t="shared" si="19"/>
        <v>144</v>
      </c>
      <c r="O411" s="12">
        <f t="shared" si="20"/>
        <v>2106</v>
      </c>
    </row>
    <row r="412" spans="1:15">
      <c r="A412" s="2" t="s">
        <v>618</v>
      </c>
      <c r="B412" s="3">
        <v>45164</v>
      </c>
      <c r="C412" s="4">
        <v>2023</v>
      </c>
      <c r="D412" s="2" t="s">
        <v>52</v>
      </c>
      <c r="E412" s="2" t="s">
        <v>35</v>
      </c>
      <c r="F412" s="2" t="s">
        <v>36</v>
      </c>
      <c r="G412" s="2" t="s">
        <v>26</v>
      </c>
      <c r="H412" s="2" t="s">
        <v>110</v>
      </c>
      <c r="I412" s="2" t="s">
        <v>111</v>
      </c>
      <c r="J412" s="5">
        <v>1</v>
      </c>
      <c r="K412" s="6">
        <v>6000</v>
      </c>
      <c r="L412" s="6">
        <f t="shared" si="18"/>
        <v>6000</v>
      </c>
      <c r="M412" s="7">
        <v>0</v>
      </c>
      <c r="N412" s="6">
        <f t="shared" si="19"/>
        <v>0</v>
      </c>
      <c r="O412" s="6">
        <f t="shared" si="20"/>
        <v>6000</v>
      </c>
    </row>
    <row r="413" spans="1:15">
      <c r="A413" s="8" t="s">
        <v>619</v>
      </c>
      <c r="B413" s="9">
        <v>45025</v>
      </c>
      <c r="C413" s="10">
        <v>2023</v>
      </c>
      <c r="D413" s="8" t="s">
        <v>30</v>
      </c>
      <c r="E413" s="8" t="s">
        <v>24</v>
      </c>
      <c r="F413" s="8" t="s">
        <v>25</v>
      </c>
      <c r="G413" s="8" t="s">
        <v>44</v>
      </c>
      <c r="H413" s="8" t="s">
        <v>223</v>
      </c>
      <c r="I413" s="8" t="s">
        <v>239</v>
      </c>
      <c r="J413" s="11">
        <v>2</v>
      </c>
      <c r="K413" s="12">
        <v>1700</v>
      </c>
      <c r="L413" s="12">
        <f t="shared" si="18"/>
        <v>3400</v>
      </c>
      <c r="M413" s="13">
        <v>0</v>
      </c>
      <c r="N413" s="12">
        <f t="shared" si="19"/>
        <v>0</v>
      </c>
      <c r="O413" s="12">
        <f t="shared" si="20"/>
        <v>3400</v>
      </c>
    </row>
    <row r="414" spans="1:15">
      <c r="A414" s="2" t="s">
        <v>620</v>
      </c>
      <c r="B414" s="3">
        <v>46007</v>
      </c>
      <c r="C414" s="4">
        <v>2025</v>
      </c>
      <c r="D414" s="2" t="s">
        <v>16</v>
      </c>
      <c r="E414" s="2" t="s">
        <v>24</v>
      </c>
      <c r="F414" s="2" t="s">
        <v>25</v>
      </c>
      <c r="G414" s="2" t="s">
        <v>19</v>
      </c>
      <c r="H414" s="2" t="s">
        <v>20</v>
      </c>
      <c r="I414" s="2" t="s">
        <v>21</v>
      </c>
      <c r="J414" s="5">
        <v>1</v>
      </c>
      <c r="K414" s="6">
        <v>650</v>
      </c>
      <c r="L414" s="6">
        <f t="shared" si="18"/>
        <v>650</v>
      </c>
      <c r="M414" s="7">
        <v>0</v>
      </c>
      <c r="N414" s="6">
        <f t="shared" si="19"/>
        <v>0</v>
      </c>
      <c r="O414" s="6">
        <f t="shared" si="20"/>
        <v>650</v>
      </c>
    </row>
    <row r="415" spans="1:15">
      <c r="A415" s="8" t="s">
        <v>621</v>
      </c>
      <c r="B415" s="9">
        <v>45859</v>
      </c>
      <c r="C415" s="10">
        <v>2025</v>
      </c>
      <c r="D415" s="8" t="s">
        <v>68</v>
      </c>
      <c r="E415" s="8" t="s">
        <v>17</v>
      </c>
      <c r="F415" s="8" t="s">
        <v>18</v>
      </c>
      <c r="G415" s="8" t="s">
        <v>19</v>
      </c>
      <c r="H415" s="8" t="s">
        <v>271</v>
      </c>
      <c r="I415" s="8" t="s">
        <v>272</v>
      </c>
      <c r="J415" s="11">
        <v>3</v>
      </c>
      <c r="K415" s="12">
        <v>2050</v>
      </c>
      <c r="L415" s="12">
        <f t="shared" si="18"/>
        <v>6150</v>
      </c>
      <c r="M415" s="13">
        <v>0</v>
      </c>
      <c r="N415" s="12">
        <f t="shared" si="19"/>
        <v>0</v>
      </c>
      <c r="O415" s="12">
        <f t="shared" si="20"/>
        <v>6150</v>
      </c>
    </row>
    <row r="416" spans="1:15">
      <c r="A416" s="2" t="s">
        <v>622</v>
      </c>
      <c r="B416" s="3">
        <v>45581</v>
      </c>
      <c r="C416" s="4">
        <v>2024</v>
      </c>
      <c r="D416" s="2" t="s">
        <v>72</v>
      </c>
      <c r="E416" s="2" t="s">
        <v>42</v>
      </c>
      <c r="F416" s="2" t="s">
        <v>43</v>
      </c>
      <c r="G416" s="2" t="s">
        <v>37</v>
      </c>
      <c r="H416" s="2" t="s">
        <v>104</v>
      </c>
      <c r="I416" s="2" t="s">
        <v>623</v>
      </c>
      <c r="J416" s="5">
        <v>1</v>
      </c>
      <c r="K416" s="6">
        <v>3650</v>
      </c>
      <c r="L416" s="6">
        <f t="shared" si="18"/>
        <v>3650</v>
      </c>
      <c r="M416" s="7">
        <v>0</v>
      </c>
      <c r="N416" s="6">
        <f t="shared" si="19"/>
        <v>0</v>
      </c>
      <c r="O416" s="6">
        <f t="shared" si="20"/>
        <v>3650</v>
      </c>
    </row>
    <row r="417" spans="1:15">
      <c r="A417" s="8" t="s">
        <v>624</v>
      </c>
      <c r="B417" s="9">
        <v>45166</v>
      </c>
      <c r="C417" s="10">
        <v>2023</v>
      </c>
      <c r="D417" s="8" t="s">
        <v>52</v>
      </c>
      <c r="E417" s="8" t="s">
        <v>17</v>
      </c>
      <c r="F417" s="8" t="s">
        <v>18</v>
      </c>
      <c r="G417" s="8" t="s">
        <v>57</v>
      </c>
      <c r="H417" s="8" t="s">
        <v>58</v>
      </c>
      <c r="I417" s="8" t="s">
        <v>87</v>
      </c>
      <c r="J417" s="11">
        <v>1</v>
      </c>
      <c r="K417" s="12">
        <v>1700</v>
      </c>
      <c r="L417" s="12">
        <f t="shared" si="18"/>
        <v>1700</v>
      </c>
      <c r="M417" s="13">
        <v>0</v>
      </c>
      <c r="N417" s="12">
        <f t="shared" si="19"/>
        <v>0</v>
      </c>
      <c r="O417" s="12">
        <f t="shared" si="20"/>
        <v>1700</v>
      </c>
    </row>
    <row r="418" spans="1:15">
      <c r="A418" s="2" t="s">
        <v>625</v>
      </c>
      <c r="B418" s="3">
        <v>45517</v>
      </c>
      <c r="C418" s="4">
        <v>2024</v>
      </c>
      <c r="D418" s="2" t="s">
        <v>52</v>
      </c>
      <c r="E418" s="2" t="s">
        <v>24</v>
      </c>
      <c r="F418" s="2" t="s">
        <v>25</v>
      </c>
      <c r="G418" s="2" t="s">
        <v>64</v>
      </c>
      <c r="H418" s="2" t="s">
        <v>127</v>
      </c>
      <c r="I418" s="2" t="s">
        <v>479</v>
      </c>
      <c r="J418" s="5">
        <v>3</v>
      </c>
      <c r="K418" s="6">
        <v>3650</v>
      </c>
      <c r="L418" s="6">
        <f t="shared" si="18"/>
        <v>10950</v>
      </c>
      <c r="M418" s="7">
        <v>0.22900000000000001</v>
      </c>
      <c r="N418" s="6">
        <f t="shared" si="19"/>
        <v>2507.5500000000002</v>
      </c>
      <c r="O418" s="6">
        <f t="shared" si="20"/>
        <v>8442.4500000000007</v>
      </c>
    </row>
    <row r="419" spans="1:15">
      <c r="A419" s="8" t="s">
        <v>626</v>
      </c>
      <c r="B419" s="9">
        <v>45804</v>
      </c>
      <c r="C419" s="10">
        <v>2025</v>
      </c>
      <c r="D419" s="8" t="s">
        <v>48</v>
      </c>
      <c r="E419" s="8" t="s">
        <v>35</v>
      </c>
      <c r="F419" s="8" t="s">
        <v>36</v>
      </c>
      <c r="G419" s="8" t="s">
        <v>37</v>
      </c>
      <c r="H419" s="8" t="s">
        <v>38</v>
      </c>
      <c r="I419" s="8" t="s">
        <v>436</v>
      </c>
      <c r="J419" s="11">
        <v>5</v>
      </c>
      <c r="K419" s="12">
        <v>3250</v>
      </c>
      <c r="L419" s="12">
        <f t="shared" si="18"/>
        <v>16250</v>
      </c>
      <c r="M419" s="13">
        <v>0</v>
      </c>
      <c r="N419" s="12">
        <f t="shared" si="19"/>
        <v>0</v>
      </c>
      <c r="O419" s="12">
        <f t="shared" si="20"/>
        <v>16250</v>
      </c>
    </row>
    <row r="420" spans="1:15">
      <c r="A420" s="2" t="s">
        <v>627</v>
      </c>
      <c r="B420" s="3">
        <v>45765</v>
      </c>
      <c r="C420" s="4">
        <v>2025</v>
      </c>
      <c r="D420" s="2" t="s">
        <v>30</v>
      </c>
      <c r="E420" s="2" t="s">
        <v>17</v>
      </c>
      <c r="F420" s="2" t="s">
        <v>18</v>
      </c>
      <c r="G420" s="2" t="s">
        <v>53</v>
      </c>
      <c r="H420" s="2" t="s">
        <v>193</v>
      </c>
      <c r="I420" s="2" t="s">
        <v>208</v>
      </c>
      <c r="J420" s="5">
        <v>1</v>
      </c>
      <c r="K420" s="6">
        <v>3800</v>
      </c>
      <c r="L420" s="6">
        <f t="shared" si="18"/>
        <v>3800</v>
      </c>
      <c r="M420" s="7">
        <v>0</v>
      </c>
      <c r="N420" s="6">
        <f t="shared" si="19"/>
        <v>0</v>
      </c>
      <c r="O420" s="6">
        <f t="shared" si="20"/>
        <v>3800</v>
      </c>
    </row>
    <row r="421" spans="1:15">
      <c r="A421" s="8" t="s">
        <v>628</v>
      </c>
      <c r="B421" s="9">
        <v>44933</v>
      </c>
      <c r="C421" s="10">
        <v>2023</v>
      </c>
      <c r="D421" s="8" t="s">
        <v>169</v>
      </c>
      <c r="E421" s="8" t="s">
        <v>17</v>
      </c>
      <c r="F421" s="8" t="s">
        <v>18</v>
      </c>
      <c r="G421" s="8" t="s">
        <v>44</v>
      </c>
      <c r="H421" s="8" t="s">
        <v>61</v>
      </c>
      <c r="I421" s="8" t="s">
        <v>377</v>
      </c>
      <c r="J421" s="11">
        <v>5</v>
      </c>
      <c r="K421" s="12">
        <v>1050</v>
      </c>
      <c r="L421" s="12">
        <f t="shared" si="18"/>
        <v>5250</v>
      </c>
      <c r="M421" s="13">
        <v>0</v>
      </c>
      <c r="N421" s="12">
        <f t="shared" si="19"/>
        <v>0</v>
      </c>
      <c r="O421" s="12">
        <f t="shared" si="20"/>
        <v>5250</v>
      </c>
    </row>
    <row r="422" spans="1:15">
      <c r="A422" s="2" t="s">
        <v>629</v>
      </c>
      <c r="B422" s="3">
        <v>45462</v>
      </c>
      <c r="C422" s="4">
        <v>2024</v>
      </c>
      <c r="D422" s="2" t="s">
        <v>100</v>
      </c>
      <c r="E422" s="2" t="s">
        <v>42</v>
      </c>
      <c r="F422" s="2" t="s">
        <v>43</v>
      </c>
      <c r="G422" s="2" t="s">
        <v>31</v>
      </c>
      <c r="H422" s="2" t="s">
        <v>32</v>
      </c>
      <c r="I422" s="2" t="s">
        <v>292</v>
      </c>
      <c r="J422" s="5">
        <v>2</v>
      </c>
      <c r="K422" s="6">
        <v>310</v>
      </c>
      <c r="L422" s="6">
        <f t="shared" si="18"/>
        <v>620</v>
      </c>
      <c r="M422" s="7">
        <v>0</v>
      </c>
      <c r="N422" s="6">
        <f t="shared" si="19"/>
        <v>0</v>
      </c>
      <c r="O422" s="6">
        <f t="shared" si="20"/>
        <v>620</v>
      </c>
    </row>
    <row r="423" spans="1:15">
      <c r="A423" s="8" t="s">
        <v>630</v>
      </c>
      <c r="B423" s="9">
        <v>45098</v>
      </c>
      <c r="C423" s="10">
        <v>2023</v>
      </c>
      <c r="D423" s="8" t="s">
        <v>100</v>
      </c>
      <c r="E423" s="8" t="s">
        <v>35</v>
      </c>
      <c r="F423" s="8" t="s">
        <v>36</v>
      </c>
      <c r="G423" s="8" t="s">
        <v>31</v>
      </c>
      <c r="H423" s="8" t="s">
        <v>81</v>
      </c>
      <c r="I423" s="8" t="s">
        <v>82</v>
      </c>
      <c r="J423" s="11">
        <v>3</v>
      </c>
      <c r="K423" s="12">
        <v>700</v>
      </c>
      <c r="L423" s="12">
        <f t="shared" si="18"/>
        <v>2100</v>
      </c>
      <c r="M423" s="13">
        <v>0.04</v>
      </c>
      <c r="N423" s="12">
        <f t="shared" si="19"/>
        <v>84</v>
      </c>
      <c r="O423" s="12">
        <f t="shared" si="20"/>
        <v>2016</v>
      </c>
    </row>
    <row r="424" spans="1:15">
      <c r="A424" s="2" t="s">
        <v>631</v>
      </c>
      <c r="B424" s="3">
        <v>45154</v>
      </c>
      <c r="C424" s="4">
        <v>2023</v>
      </c>
      <c r="D424" s="2" t="s">
        <v>52</v>
      </c>
      <c r="E424" s="2" t="s">
        <v>35</v>
      </c>
      <c r="F424" s="2" t="s">
        <v>36</v>
      </c>
      <c r="G424" s="2" t="s">
        <v>44</v>
      </c>
      <c r="H424" s="2" t="s">
        <v>61</v>
      </c>
      <c r="I424" s="2" t="s">
        <v>232</v>
      </c>
      <c r="J424" s="5">
        <v>2</v>
      </c>
      <c r="K424" s="6">
        <v>140</v>
      </c>
      <c r="L424" s="6">
        <f t="shared" si="18"/>
        <v>280</v>
      </c>
      <c r="M424" s="7">
        <v>0</v>
      </c>
      <c r="N424" s="6">
        <f t="shared" si="19"/>
        <v>0</v>
      </c>
      <c r="O424" s="6">
        <f t="shared" si="20"/>
        <v>280</v>
      </c>
    </row>
    <row r="425" spans="1:15">
      <c r="A425" s="8" t="s">
        <v>632</v>
      </c>
      <c r="B425" s="9">
        <v>45888</v>
      </c>
      <c r="C425" s="10">
        <v>2025</v>
      </c>
      <c r="D425" s="8" t="s">
        <v>52</v>
      </c>
      <c r="E425" s="8" t="s">
        <v>35</v>
      </c>
      <c r="F425" s="8" t="s">
        <v>36</v>
      </c>
      <c r="G425" s="8" t="s">
        <v>44</v>
      </c>
      <c r="H425" s="8" t="s">
        <v>61</v>
      </c>
      <c r="I425" s="8" t="s">
        <v>348</v>
      </c>
      <c r="J425" s="11">
        <v>5</v>
      </c>
      <c r="K425" s="12">
        <v>800</v>
      </c>
      <c r="L425" s="12">
        <f t="shared" si="18"/>
        <v>4000</v>
      </c>
      <c r="M425" s="13">
        <v>0</v>
      </c>
      <c r="N425" s="12">
        <f t="shared" si="19"/>
        <v>0</v>
      </c>
      <c r="O425" s="12">
        <f t="shared" si="20"/>
        <v>4000</v>
      </c>
    </row>
    <row r="426" spans="1:15">
      <c r="A426" s="2" t="s">
        <v>633</v>
      </c>
      <c r="B426" s="3">
        <v>45376</v>
      </c>
      <c r="C426" s="4">
        <v>2024</v>
      </c>
      <c r="D426" s="2" t="s">
        <v>78</v>
      </c>
      <c r="E426" s="2" t="s">
        <v>17</v>
      </c>
      <c r="F426" s="2" t="s">
        <v>18</v>
      </c>
      <c r="G426" s="2" t="s">
        <v>31</v>
      </c>
      <c r="H426" s="2" t="s">
        <v>84</v>
      </c>
      <c r="I426" s="2" t="s">
        <v>634</v>
      </c>
      <c r="J426" s="5">
        <v>1</v>
      </c>
      <c r="K426" s="6">
        <v>750</v>
      </c>
      <c r="L426" s="6">
        <f t="shared" si="18"/>
        <v>750</v>
      </c>
      <c r="M426" s="7">
        <v>0</v>
      </c>
      <c r="N426" s="6">
        <f t="shared" si="19"/>
        <v>0</v>
      </c>
      <c r="O426" s="6">
        <f t="shared" si="20"/>
        <v>750</v>
      </c>
    </row>
    <row r="427" spans="1:15">
      <c r="A427" s="8" t="s">
        <v>635</v>
      </c>
      <c r="B427" s="9">
        <v>44945</v>
      </c>
      <c r="C427" s="10">
        <v>2023</v>
      </c>
      <c r="D427" s="8" t="s">
        <v>169</v>
      </c>
      <c r="E427" s="8" t="s">
        <v>35</v>
      </c>
      <c r="F427" s="8" t="s">
        <v>36</v>
      </c>
      <c r="G427" s="8" t="s">
        <v>19</v>
      </c>
      <c r="H427" s="8" t="s">
        <v>116</v>
      </c>
      <c r="I427" s="8" t="s">
        <v>139</v>
      </c>
      <c r="J427" s="11">
        <v>1</v>
      </c>
      <c r="K427" s="12">
        <v>1000</v>
      </c>
      <c r="L427" s="12">
        <f t="shared" si="18"/>
        <v>1000</v>
      </c>
      <c r="M427" s="13">
        <v>0</v>
      </c>
      <c r="N427" s="12">
        <f t="shared" si="19"/>
        <v>0</v>
      </c>
      <c r="O427" s="12">
        <f t="shared" si="20"/>
        <v>1000</v>
      </c>
    </row>
    <row r="428" spans="1:15">
      <c r="A428" s="2" t="s">
        <v>636</v>
      </c>
      <c r="B428" s="3">
        <v>45768</v>
      </c>
      <c r="C428" s="4">
        <v>2025</v>
      </c>
      <c r="D428" s="2" t="s">
        <v>30</v>
      </c>
      <c r="E428" s="2" t="s">
        <v>35</v>
      </c>
      <c r="F428" s="2" t="s">
        <v>36</v>
      </c>
      <c r="G428" s="2" t="s">
        <v>57</v>
      </c>
      <c r="H428" s="2" t="s">
        <v>75</v>
      </c>
      <c r="I428" s="2" t="s">
        <v>144</v>
      </c>
      <c r="J428" s="5">
        <v>1</v>
      </c>
      <c r="K428" s="6">
        <v>1150</v>
      </c>
      <c r="L428" s="6">
        <f t="shared" si="18"/>
        <v>1150</v>
      </c>
      <c r="M428" s="7">
        <v>0</v>
      </c>
      <c r="N428" s="6">
        <f t="shared" si="19"/>
        <v>0</v>
      </c>
      <c r="O428" s="6">
        <f t="shared" si="20"/>
        <v>1150</v>
      </c>
    </row>
    <row r="429" spans="1:15">
      <c r="A429" s="8" t="s">
        <v>637</v>
      </c>
      <c r="B429" s="9">
        <v>45779</v>
      </c>
      <c r="C429" s="10">
        <v>2025</v>
      </c>
      <c r="D429" s="8" t="s">
        <v>48</v>
      </c>
      <c r="E429" s="8" t="s">
        <v>42</v>
      </c>
      <c r="F429" s="8" t="s">
        <v>43</v>
      </c>
      <c r="G429" s="8" t="s">
        <v>64</v>
      </c>
      <c r="H429" s="8" t="s">
        <v>94</v>
      </c>
      <c r="I429" s="8" t="s">
        <v>601</v>
      </c>
      <c r="J429" s="11">
        <v>1</v>
      </c>
      <c r="K429" s="12">
        <v>1300</v>
      </c>
      <c r="L429" s="12">
        <f t="shared" si="18"/>
        <v>1300</v>
      </c>
      <c r="M429" s="13">
        <v>0.28199999999999997</v>
      </c>
      <c r="N429" s="12">
        <f t="shared" si="19"/>
        <v>366.59999999999997</v>
      </c>
      <c r="O429" s="12">
        <f t="shared" si="20"/>
        <v>933.40000000000009</v>
      </c>
    </row>
    <row r="430" spans="1:15">
      <c r="A430" s="2" t="s">
        <v>638</v>
      </c>
      <c r="B430" s="3">
        <v>45674</v>
      </c>
      <c r="C430" s="4">
        <v>2025</v>
      </c>
      <c r="D430" s="2" t="s">
        <v>169</v>
      </c>
      <c r="E430" s="2" t="s">
        <v>42</v>
      </c>
      <c r="F430" s="2" t="s">
        <v>43</v>
      </c>
      <c r="G430" s="2" t="s">
        <v>37</v>
      </c>
      <c r="H430" s="2" t="s">
        <v>91</v>
      </c>
      <c r="I430" s="2" t="s">
        <v>344</v>
      </c>
      <c r="J430" s="5">
        <v>1</v>
      </c>
      <c r="K430" s="6">
        <v>3750</v>
      </c>
      <c r="L430" s="6">
        <f t="shared" si="18"/>
        <v>3750</v>
      </c>
      <c r="M430" s="7">
        <v>0</v>
      </c>
      <c r="N430" s="6">
        <f t="shared" si="19"/>
        <v>0</v>
      </c>
      <c r="O430" s="6">
        <f t="shared" si="20"/>
        <v>3750</v>
      </c>
    </row>
    <row r="431" spans="1:15">
      <c r="A431" s="8" t="s">
        <v>639</v>
      </c>
      <c r="B431" s="9">
        <v>45752</v>
      </c>
      <c r="C431" s="10">
        <v>2025</v>
      </c>
      <c r="D431" s="8" t="s">
        <v>30</v>
      </c>
      <c r="E431" s="8" t="s">
        <v>17</v>
      </c>
      <c r="F431" s="8" t="s">
        <v>18</v>
      </c>
      <c r="G431" s="8" t="s">
        <v>31</v>
      </c>
      <c r="H431" s="8" t="s">
        <v>32</v>
      </c>
      <c r="I431" s="8" t="s">
        <v>276</v>
      </c>
      <c r="J431" s="11">
        <v>6</v>
      </c>
      <c r="K431" s="12">
        <v>700</v>
      </c>
      <c r="L431" s="12">
        <f t="shared" si="18"/>
        <v>4200</v>
      </c>
      <c r="M431" s="13">
        <v>0</v>
      </c>
      <c r="N431" s="12">
        <f t="shared" si="19"/>
        <v>0</v>
      </c>
      <c r="O431" s="12">
        <f t="shared" si="20"/>
        <v>4200</v>
      </c>
    </row>
    <row r="432" spans="1:15">
      <c r="A432" s="2" t="s">
        <v>640</v>
      </c>
      <c r="B432" s="3">
        <v>44939</v>
      </c>
      <c r="C432" s="4">
        <v>2023</v>
      </c>
      <c r="D432" s="2" t="s">
        <v>169</v>
      </c>
      <c r="E432" s="2" t="s">
        <v>42</v>
      </c>
      <c r="F432" s="2" t="s">
        <v>43</v>
      </c>
      <c r="G432" s="2" t="s">
        <v>31</v>
      </c>
      <c r="H432" s="2" t="s">
        <v>32</v>
      </c>
      <c r="I432" s="2" t="s">
        <v>198</v>
      </c>
      <c r="J432" s="5">
        <v>4</v>
      </c>
      <c r="K432" s="6">
        <v>1100</v>
      </c>
      <c r="L432" s="6">
        <f t="shared" si="18"/>
        <v>4400</v>
      </c>
      <c r="M432" s="7">
        <v>1.2999999999999999E-2</v>
      </c>
      <c r="N432" s="6">
        <f t="shared" si="19"/>
        <v>57.199999999999996</v>
      </c>
      <c r="O432" s="6">
        <f t="shared" si="20"/>
        <v>4342.8</v>
      </c>
    </row>
    <row r="433" spans="1:15">
      <c r="A433" s="8" t="s">
        <v>641</v>
      </c>
      <c r="B433" s="9">
        <v>44937</v>
      </c>
      <c r="C433" s="10">
        <v>2023</v>
      </c>
      <c r="D433" s="8" t="s">
        <v>169</v>
      </c>
      <c r="E433" s="8" t="s">
        <v>42</v>
      </c>
      <c r="F433" s="8" t="s">
        <v>43</v>
      </c>
      <c r="G433" s="8" t="s">
        <v>37</v>
      </c>
      <c r="H433" s="8" t="s">
        <v>104</v>
      </c>
      <c r="I433" s="8" t="s">
        <v>289</v>
      </c>
      <c r="J433" s="11">
        <v>1</v>
      </c>
      <c r="K433" s="12">
        <v>900</v>
      </c>
      <c r="L433" s="12">
        <f t="shared" si="18"/>
        <v>900</v>
      </c>
      <c r="M433" s="13">
        <v>4.8000000000000001E-2</v>
      </c>
      <c r="N433" s="12">
        <f t="shared" si="19"/>
        <v>43.2</v>
      </c>
      <c r="O433" s="12">
        <f t="shared" si="20"/>
        <v>856.8</v>
      </c>
    </row>
    <row r="434" spans="1:15">
      <c r="A434" s="2" t="s">
        <v>642</v>
      </c>
      <c r="B434" s="3">
        <v>45563</v>
      </c>
      <c r="C434" s="4">
        <v>2024</v>
      </c>
      <c r="D434" s="2" t="s">
        <v>123</v>
      </c>
      <c r="E434" s="2" t="s">
        <v>42</v>
      </c>
      <c r="F434" s="2" t="s">
        <v>43</v>
      </c>
      <c r="G434" s="2" t="s">
        <v>44</v>
      </c>
      <c r="H434" s="2" t="s">
        <v>61</v>
      </c>
      <c r="I434" s="2" t="s">
        <v>348</v>
      </c>
      <c r="J434" s="5">
        <v>2</v>
      </c>
      <c r="K434" s="6">
        <v>650</v>
      </c>
      <c r="L434" s="6">
        <f t="shared" si="18"/>
        <v>1300</v>
      </c>
      <c r="M434" s="7">
        <v>8.0000000000000002E-3</v>
      </c>
      <c r="N434" s="6">
        <f t="shared" si="19"/>
        <v>10.4</v>
      </c>
      <c r="O434" s="6">
        <f t="shared" si="20"/>
        <v>1289.5999999999999</v>
      </c>
    </row>
    <row r="435" spans="1:15">
      <c r="A435" s="8" t="s">
        <v>643</v>
      </c>
      <c r="B435" s="9">
        <v>45292</v>
      </c>
      <c r="C435" s="10">
        <v>2024</v>
      </c>
      <c r="D435" s="8" t="s">
        <v>169</v>
      </c>
      <c r="E435" s="8" t="s">
        <v>42</v>
      </c>
      <c r="F435" s="8" t="s">
        <v>43</v>
      </c>
      <c r="G435" s="8" t="s">
        <v>19</v>
      </c>
      <c r="H435" s="8" t="s">
        <v>271</v>
      </c>
      <c r="I435" s="8" t="s">
        <v>515</v>
      </c>
      <c r="J435" s="11">
        <v>1</v>
      </c>
      <c r="K435" s="12">
        <v>1050</v>
      </c>
      <c r="L435" s="12">
        <f t="shared" si="18"/>
        <v>1050</v>
      </c>
      <c r="M435" s="13">
        <v>0</v>
      </c>
      <c r="N435" s="12">
        <f t="shared" si="19"/>
        <v>0</v>
      </c>
      <c r="O435" s="12">
        <f t="shared" si="20"/>
        <v>1050</v>
      </c>
    </row>
    <row r="436" spans="1:15">
      <c r="A436" s="2" t="s">
        <v>644</v>
      </c>
      <c r="B436" s="3">
        <v>45836</v>
      </c>
      <c r="C436" s="4">
        <v>2025</v>
      </c>
      <c r="D436" s="2" t="s">
        <v>100</v>
      </c>
      <c r="E436" s="2" t="s">
        <v>24</v>
      </c>
      <c r="F436" s="2" t="s">
        <v>25</v>
      </c>
      <c r="G436" s="2" t="s">
        <v>57</v>
      </c>
      <c r="H436" s="2" t="s">
        <v>200</v>
      </c>
      <c r="I436" s="2" t="s">
        <v>425</v>
      </c>
      <c r="J436" s="5">
        <v>4</v>
      </c>
      <c r="K436" s="6">
        <v>2900</v>
      </c>
      <c r="L436" s="6">
        <f t="shared" si="18"/>
        <v>11600</v>
      </c>
      <c r="M436" s="7">
        <v>7.4999999999999997E-2</v>
      </c>
      <c r="N436" s="6">
        <f t="shared" si="19"/>
        <v>870</v>
      </c>
      <c r="O436" s="6">
        <f t="shared" si="20"/>
        <v>10730</v>
      </c>
    </row>
    <row r="437" spans="1:15">
      <c r="A437" s="8" t="s">
        <v>645</v>
      </c>
      <c r="B437" s="9">
        <v>45220</v>
      </c>
      <c r="C437" s="10">
        <v>2023</v>
      </c>
      <c r="D437" s="8" t="s">
        <v>72</v>
      </c>
      <c r="E437" s="8" t="s">
        <v>35</v>
      </c>
      <c r="F437" s="8" t="s">
        <v>36</v>
      </c>
      <c r="G437" s="8" t="s">
        <v>64</v>
      </c>
      <c r="H437" s="8" t="s">
        <v>65</v>
      </c>
      <c r="I437" s="8" t="s">
        <v>73</v>
      </c>
      <c r="J437" s="11">
        <v>1</v>
      </c>
      <c r="K437" s="12">
        <v>4500</v>
      </c>
      <c r="L437" s="12">
        <f t="shared" si="18"/>
        <v>4500</v>
      </c>
      <c r="M437" s="13">
        <v>0</v>
      </c>
      <c r="N437" s="12">
        <f t="shared" si="19"/>
        <v>0</v>
      </c>
      <c r="O437" s="12">
        <f t="shared" si="20"/>
        <v>4500</v>
      </c>
    </row>
    <row r="438" spans="1:15">
      <c r="A438" s="2" t="s">
        <v>646</v>
      </c>
      <c r="B438" s="3">
        <v>45306</v>
      </c>
      <c r="C438" s="4">
        <v>2024</v>
      </c>
      <c r="D438" s="2" t="s">
        <v>169</v>
      </c>
      <c r="E438" s="2" t="s">
        <v>24</v>
      </c>
      <c r="F438" s="2" t="s">
        <v>25</v>
      </c>
      <c r="G438" s="2" t="s">
        <v>37</v>
      </c>
      <c r="H438" s="2" t="s">
        <v>91</v>
      </c>
      <c r="I438" s="2" t="s">
        <v>92</v>
      </c>
      <c r="J438" s="5">
        <v>2</v>
      </c>
      <c r="K438" s="6">
        <v>3750</v>
      </c>
      <c r="L438" s="6">
        <f t="shared" si="18"/>
        <v>7500</v>
      </c>
      <c r="M438" s="7">
        <v>0</v>
      </c>
      <c r="N438" s="6">
        <f t="shared" si="19"/>
        <v>0</v>
      </c>
      <c r="O438" s="6">
        <f t="shared" si="20"/>
        <v>7500</v>
      </c>
    </row>
    <row r="439" spans="1:15">
      <c r="A439" s="8" t="s">
        <v>647</v>
      </c>
      <c r="B439" s="9">
        <v>45131</v>
      </c>
      <c r="C439" s="10">
        <v>2023</v>
      </c>
      <c r="D439" s="8" t="s">
        <v>68</v>
      </c>
      <c r="E439" s="8" t="s">
        <v>35</v>
      </c>
      <c r="F439" s="8" t="s">
        <v>36</v>
      </c>
      <c r="G439" s="8" t="s">
        <v>26</v>
      </c>
      <c r="H439" s="8" t="s">
        <v>101</v>
      </c>
      <c r="I439" s="8" t="s">
        <v>102</v>
      </c>
      <c r="J439" s="11">
        <v>2</v>
      </c>
      <c r="K439" s="12">
        <v>81500</v>
      </c>
      <c r="L439" s="12">
        <f t="shared" si="18"/>
        <v>163000</v>
      </c>
      <c r="M439" s="13">
        <v>0</v>
      </c>
      <c r="N439" s="12">
        <f t="shared" si="19"/>
        <v>0</v>
      </c>
      <c r="O439" s="12">
        <f t="shared" si="20"/>
        <v>163000</v>
      </c>
    </row>
    <row r="440" spans="1:15">
      <c r="A440" s="2" t="s">
        <v>648</v>
      </c>
      <c r="B440" s="3">
        <v>44934</v>
      </c>
      <c r="C440" s="4">
        <v>2023</v>
      </c>
      <c r="D440" s="2" t="s">
        <v>169</v>
      </c>
      <c r="E440" s="2" t="s">
        <v>42</v>
      </c>
      <c r="F440" s="2" t="s">
        <v>43</v>
      </c>
      <c r="G440" s="2" t="s">
        <v>37</v>
      </c>
      <c r="H440" s="2" t="s">
        <v>38</v>
      </c>
      <c r="I440" s="2" t="s">
        <v>89</v>
      </c>
      <c r="J440" s="5">
        <v>4</v>
      </c>
      <c r="K440" s="6">
        <v>2250</v>
      </c>
      <c r="L440" s="6">
        <f t="shared" si="18"/>
        <v>9000</v>
      </c>
      <c r="M440" s="7">
        <v>3.4000000000000002E-2</v>
      </c>
      <c r="N440" s="6">
        <f t="shared" si="19"/>
        <v>306</v>
      </c>
      <c r="O440" s="6">
        <f t="shared" si="20"/>
        <v>8694</v>
      </c>
    </row>
    <row r="441" spans="1:15">
      <c r="A441" s="8" t="s">
        <v>649</v>
      </c>
      <c r="B441" s="9">
        <v>45135</v>
      </c>
      <c r="C441" s="10">
        <v>2023</v>
      </c>
      <c r="D441" s="8" t="s">
        <v>68</v>
      </c>
      <c r="E441" s="8" t="s">
        <v>42</v>
      </c>
      <c r="F441" s="8" t="s">
        <v>43</v>
      </c>
      <c r="G441" s="8" t="s">
        <v>19</v>
      </c>
      <c r="H441" s="8" t="s">
        <v>69</v>
      </c>
      <c r="I441" s="8" t="s">
        <v>70</v>
      </c>
      <c r="J441" s="11">
        <v>3</v>
      </c>
      <c r="K441" s="12">
        <v>400</v>
      </c>
      <c r="L441" s="12">
        <f t="shared" si="18"/>
        <v>1200</v>
      </c>
      <c r="M441" s="13">
        <v>0</v>
      </c>
      <c r="N441" s="12">
        <f t="shared" si="19"/>
        <v>0</v>
      </c>
      <c r="O441" s="12">
        <f t="shared" si="20"/>
        <v>1200</v>
      </c>
    </row>
    <row r="442" spans="1:15">
      <c r="A442" s="2" t="s">
        <v>650</v>
      </c>
      <c r="B442" s="3">
        <v>45756</v>
      </c>
      <c r="C442" s="4">
        <v>2025</v>
      </c>
      <c r="D442" s="2" t="s">
        <v>30</v>
      </c>
      <c r="E442" s="2" t="s">
        <v>35</v>
      </c>
      <c r="F442" s="2" t="s">
        <v>36</v>
      </c>
      <c r="G442" s="2" t="s">
        <v>26</v>
      </c>
      <c r="H442" s="2" t="s">
        <v>101</v>
      </c>
      <c r="I442" s="2" t="s">
        <v>102</v>
      </c>
      <c r="J442" s="5">
        <v>1</v>
      </c>
      <c r="K442" s="6">
        <v>22500</v>
      </c>
      <c r="L442" s="6">
        <f t="shared" si="18"/>
        <v>22500</v>
      </c>
      <c r="M442" s="7">
        <v>0</v>
      </c>
      <c r="N442" s="6">
        <f t="shared" si="19"/>
        <v>0</v>
      </c>
      <c r="O442" s="6">
        <f t="shared" si="20"/>
        <v>22500</v>
      </c>
    </row>
    <row r="443" spans="1:15">
      <c r="A443" s="8" t="s">
        <v>651</v>
      </c>
      <c r="B443" s="9">
        <v>45688</v>
      </c>
      <c r="C443" s="10">
        <v>2025</v>
      </c>
      <c r="D443" s="8" t="s">
        <v>169</v>
      </c>
      <c r="E443" s="8" t="s">
        <v>35</v>
      </c>
      <c r="F443" s="8" t="s">
        <v>36</v>
      </c>
      <c r="G443" s="8" t="s">
        <v>31</v>
      </c>
      <c r="H443" s="8" t="s">
        <v>84</v>
      </c>
      <c r="I443" s="8" t="s">
        <v>85</v>
      </c>
      <c r="J443" s="11">
        <v>1</v>
      </c>
      <c r="K443" s="12">
        <v>750</v>
      </c>
      <c r="L443" s="12">
        <f t="shared" si="18"/>
        <v>750</v>
      </c>
      <c r="M443" s="13">
        <v>0</v>
      </c>
      <c r="N443" s="12">
        <f t="shared" si="19"/>
        <v>0</v>
      </c>
      <c r="O443" s="12">
        <f t="shared" si="20"/>
        <v>750</v>
      </c>
    </row>
    <row r="444" spans="1:15">
      <c r="A444" s="2" t="s">
        <v>652</v>
      </c>
      <c r="B444" s="3">
        <v>45923</v>
      </c>
      <c r="C444" s="4">
        <v>2025</v>
      </c>
      <c r="D444" s="2" t="s">
        <v>123</v>
      </c>
      <c r="E444" s="2" t="s">
        <v>17</v>
      </c>
      <c r="F444" s="2" t="s">
        <v>18</v>
      </c>
      <c r="G444" s="2" t="s">
        <v>64</v>
      </c>
      <c r="H444" s="2" t="s">
        <v>94</v>
      </c>
      <c r="I444" s="2" t="s">
        <v>95</v>
      </c>
      <c r="J444" s="5">
        <v>1</v>
      </c>
      <c r="K444" s="6">
        <v>3200</v>
      </c>
      <c r="L444" s="6">
        <f t="shared" si="18"/>
        <v>3200</v>
      </c>
      <c r="M444" s="7">
        <v>0</v>
      </c>
      <c r="N444" s="6">
        <f t="shared" si="19"/>
        <v>0</v>
      </c>
      <c r="O444" s="6">
        <f t="shared" si="20"/>
        <v>3200</v>
      </c>
    </row>
    <row r="445" spans="1:15">
      <c r="A445" s="8" t="s">
        <v>653</v>
      </c>
      <c r="B445" s="9">
        <v>45656</v>
      </c>
      <c r="C445" s="10">
        <v>2024</v>
      </c>
      <c r="D445" s="8" t="s">
        <v>16</v>
      </c>
      <c r="E445" s="8" t="s">
        <v>42</v>
      </c>
      <c r="F445" s="8" t="s">
        <v>43</v>
      </c>
      <c r="G445" s="8" t="s">
        <v>53</v>
      </c>
      <c r="H445" s="8" t="s">
        <v>193</v>
      </c>
      <c r="I445" s="8" t="s">
        <v>208</v>
      </c>
      <c r="J445" s="11">
        <v>3</v>
      </c>
      <c r="K445" s="12">
        <v>1300</v>
      </c>
      <c r="L445" s="12">
        <f t="shared" si="18"/>
        <v>3900</v>
      </c>
      <c r="M445" s="13">
        <v>0</v>
      </c>
      <c r="N445" s="12">
        <f t="shared" si="19"/>
        <v>0</v>
      </c>
      <c r="O445" s="12">
        <f t="shared" si="20"/>
        <v>3900</v>
      </c>
    </row>
    <row r="446" spans="1:15">
      <c r="A446" s="2" t="s">
        <v>654</v>
      </c>
      <c r="B446" s="3">
        <v>45796</v>
      </c>
      <c r="C446" s="4">
        <v>2025</v>
      </c>
      <c r="D446" s="2" t="s">
        <v>48</v>
      </c>
      <c r="E446" s="2" t="s">
        <v>17</v>
      </c>
      <c r="F446" s="2" t="s">
        <v>18</v>
      </c>
      <c r="G446" s="2" t="s">
        <v>53</v>
      </c>
      <c r="H446" s="2" t="s">
        <v>193</v>
      </c>
      <c r="I446" s="2" t="s">
        <v>438</v>
      </c>
      <c r="J446" s="5">
        <v>1</v>
      </c>
      <c r="K446" s="6">
        <v>2400</v>
      </c>
      <c r="L446" s="6">
        <f t="shared" si="18"/>
        <v>2400</v>
      </c>
      <c r="M446" s="7">
        <v>0</v>
      </c>
      <c r="N446" s="6">
        <f t="shared" si="19"/>
        <v>0</v>
      </c>
      <c r="O446" s="6">
        <f t="shared" si="20"/>
        <v>2400</v>
      </c>
    </row>
    <row r="447" spans="1:15">
      <c r="A447" s="8" t="s">
        <v>655</v>
      </c>
      <c r="B447" s="9">
        <v>45924</v>
      </c>
      <c r="C447" s="10">
        <v>2025</v>
      </c>
      <c r="D447" s="8" t="s">
        <v>123</v>
      </c>
      <c r="E447" s="8" t="s">
        <v>24</v>
      </c>
      <c r="F447" s="8" t="s">
        <v>25</v>
      </c>
      <c r="G447" s="8" t="s">
        <v>37</v>
      </c>
      <c r="H447" s="8" t="s">
        <v>38</v>
      </c>
      <c r="I447" s="8" t="s">
        <v>403</v>
      </c>
      <c r="J447" s="11">
        <v>1</v>
      </c>
      <c r="K447" s="12">
        <v>3700</v>
      </c>
      <c r="L447" s="12">
        <f t="shared" si="18"/>
        <v>3700</v>
      </c>
      <c r="M447" s="13">
        <v>0</v>
      </c>
      <c r="N447" s="12">
        <f t="shared" si="19"/>
        <v>0</v>
      </c>
      <c r="O447" s="12">
        <f t="shared" si="20"/>
        <v>3700</v>
      </c>
    </row>
    <row r="448" spans="1:15">
      <c r="A448" s="2" t="s">
        <v>656</v>
      </c>
      <c r="B448" s="3">
        <v>46004</v>
      </c>
      <c r="C448" s="4">
        <v>2025</v>
      </c>
      <c r="D448" s="2" t="s">
        <v>16</v>
      </c>
      <c r="E448" s="2" t="s">
        <v>35</v>
      </c>
      <c r="F448" s="2" t="s">
        <v>36</v>
      </c>
      <c r="G448" s="2" t="s">
        <v>31</v>
      </c>
      <c r="H448" s="2" t="s">
        <v>32</v>
      </c>
      <c r="I448" s="2" t="s">
        <v>257</v>
      </c>
      <c r="J448" s="5">
        <v>3</v>
      </c>
      <c r="K448" s="6">
        <v>900</v>
      </c>
      <c r="L448" s="6">
        <f t="shared" si="18"/>
        <v>2700</v>
      </c>
      <c r="M448" s="7">
        <v>0.02</v>
      </c>
      <c r="N448" s="6">
        <f t="shared" si="19"/>
        <v>54</v>
      </c>
      <c r="O448" s="6">
        <f t="shared" si="20"/>
        <v>2646</v>
      </c>
    </row>
    <row r="449" spans="1:15">
      <c r="A449" s="8" t="s">
        <v>657</v>
      </c>
      <c r="B449" s="9">
        <v>45925</v>
      </c>
      <c r="C449" s="10">
        <v>2025</v>
      </c>
      <c r="D449" s="8" t="s">
        <v>123</v>
      </c>
      <c r="E449" s="8" t="s">
        <v>24</v>
      </c>
      <c r="F449" s="8" t="s">
        <v>25</v>
      </c>
      <c r="G449" s="8" t="s">
        <v>64</v>
      </c>
      <c r="H449" s="8" t="s">
        <v>94</v>
      </c>
      <c r="I449" s="8" t="s">
        <v>170</v>
      </c>
      <c r="J449" s="11">
        <v>1</v>
      </c>
      <c r="K449" s="12">
        <v>4150</v>
      </c>
      <c r="L449" s="12">
        <f t="shared" si="18"/>
        <v>4150</v>
      </c>
      <c r="M449" s="13">
        <v>0.28100000000000003</v>
      </c>
      <c r="N449" s="12">
        <f t="shared" si="19"/>
        <v>1166.1500000000001</v>
      </c>
      <c r="O449" s="12">
        <f t="shared" si="20"/>
        <v>2983.85</v>
      </c>
    </row>
    <row r="450" spans="1:15">
      <c r="A450" s="2" t="s">
        <v>658</v>
      </c>
      <c r="B450" s="3">
        <v>44966</v>
      </c>
      <c r="C450" s="4">
        <v>2023</v>
      </c>
      <c r="D450" s="2" t="s">
        <v>23</v>
      </c>
      <c r="E450" s="2" t="s">
        <v>42</v>
      </c>
      <c r="F450" s="2" t="s">
        <v>43</v>
      </c>
      <c r="G450" s="2" t="s">
        <v>64</v>
      </c>
      <c r="H450" s="2" t="s">
        <v>127</v>
      </c>
      <c r="I450" s="2" t="s">
        <v>255</v>
      </c>
      <c r="J450" s="5">
        <v>1</v>
      </c>
      <c r="K450" s="6">
        <v>2050</v>
      </c>
      <c r="L450" s="6">
        <f t="shared" ref="L450:L513" si="21">J450*K450</f>
        <v>2050</v>
      </c>
      <c r="M450" s="7">
        <v>0</v>
      </c>
      <c r="N450" s="6">
        <f t="shared" ref="N450:N513" si="22">L450*M450</f>
        <v>0</v>
      </c>
      <c r="O450" s="6">
        <f t="shared" ref="O450:O513" si="23">L450-N450</f>
        <v>2050</v>
      </c>
    </row>
    <row r="451" spans="1:15">
      <c r="A451" s="8" t="s">
        <v>659</v>
      </c>
      <c r="B451" s="9">
        <v>45879</v>
      </c>
      <c r="C451" s="10">
        <v>2025</v>
      </c>
      <c r="D451" s="8" t="s">
        <v>52</v>
      </c>
      <c r="E451" s="8" t="s">
        <v>17</v>
      </c>
      <c r="F451" s="8" t="s">
        <v>18</v>
      </c>
      <c r="G451" s="8" t="s">
        <v>57</v>
      </c>
      <c r="H451" s="8" t="s">
        <v>200</v>
      </c>
      <c r="I451" s="8" t="s">
        <v>360</v>
      </c>
      <c r="J451" s="11">
        <v>1</v>
      </c>
      <c r="K451" s="12">
        <v>3950</v>
      </c>
      <c r="L451" s="12">
        <f t="shared" si="21"/>
        <v>3950</v>
      </c>
      <c r="M451" s="13">
        <v>0</v>
      </c>
      <c r="N451" s="12">
        <f t="shared" si="22"/>
        <v>0</v>
      </c>
      <c r="O451" s="12">
        <f t="shared" si="23"/>
        <v>3950</v>
      </c>
    </row>
    <row r="452" spans="1:15">
      <c r="A452" s="2" t="s">
        <v>660</v>
      </c>
      <c r="B452" s="3">
        <v>45718</v>
      </c>
      <c r="C452" s="4">
        <v>2025</v>
      </c>
      <c r="D452" s="2" t="s">
        <v>78</v>
      </c>
      <c r="E452" s="2" t="s">
        <v>35</v>
      </c>
      <c r="F452" s="2" t="s">
        <v>36</v>
      </c>
      <c r="G452" s="2" t="s">
        <v>44</v>
      </c>
      <c r="H452" s="2" t="s">
        <v>45</v>
      </c>
      <c r="I452" s="2" t="s">
        <v>217</v>
      </c>
      <c r="J452" s="5">
        <v>3</v>
      </c>
      <c r="K452" s="6">
        <v>1450</v>
      </c>
      <c r="L452" s="6">
        <f t="shared" si="21"/>
        <v>4350</v>
      </c>
      <c r="M452" s="7">
        <v>2.5000000000000001E-2</v>
      </c>
      <c r="N452" s="6">
        <f t="shared" si="22"/>
        <v>108.75</v>
      </c>
      <c r="O452" s="6">
        <f t="shared" si="23"/>
        <v>4241.25</v>
      </c>
    </row>
    <row r="453" spans="1:15">
      <c r="A453" s="8" t="s">
        <v>661</v>
      </c>
      <c r="B453" s="9">
        <v>45382</v>
      </c>
      <c r="C453" s="10">
        <v>2024</v>
      </c>
      <c r="D453" s="8" t="s">
        <v>78</v>
      </c>
      <c r="E453" s="8" t="s">
        <v>24</v>
      </c>
      <c r="F453" s="8" t="s">
        <v>25</v>
      </c>
      <c r="G453" s="8" t="s">
        <v>31</v>
      </c>
      <c r="H453" s="8" t="s">
        <v>124</v>
      </c>
      <c r="I453" s="8" t="s">
        <v>508</v>
      </c>
      <c r="J453" s="11">
        <v>4</v>
      </c>
      <c r="K453" s="12">
        <v>360</v>
      </c>
      <c r="L453" s="12">
        <f t="shared" si="21"/>
        <v>1440</v>
      </c>
      <c r="M453" s="13">
        <v>0</v>
      </c>
      <c r="N453" s="12">
        <f t="shared" si="22"/>
        <v>0</v>
      </c>
      <c r="O453" s="12">
        <f t="shared" si="23"/>
        <v>1440</v>
      </c>
    </row>
    <row r="454" spans="1:15">
      <c r="A454" s="2" t="s">
        <v>662</v>
      </c>
      <c r="B454" s="3">
        <v>45519</v>
      </c>
      <c r="C454" s="4">
        <v>2024</v>
      </c>
      <c r="D454" s="2" t="s">
        <v>52</v>
      </c>
      <c r="E454" s="2" t="s">
        <v>35</v>
      </c>
      <c r="F454" s="2" t="s">
        <v>36</v>
      </c>
      <c r="G454" s="2" t="s">
        <v>26</v>
      </c>
      <c r="H454" s="2" t="s">
        <v>113</v>
      </c>
      <c r="I454" s="2" t="s">
        <v>162</v>
      </c>
      <c r="J454" s="5">
        <v>1</v>
      </c>
      <c r="K454" s="6">
        <v>72000</v>
      </c>
      <c r="L454" s="6">
        <f t="shared" si="21"/>
        <v>72000</v>
      </c>
      <c r="M454" s="7">
        <v>0</v>
      </c>
      <c r="N454" s="6">
        <f t="shared" si="22"/>
        <v>0</v>
      </c>
      <c r="O454" s="6">
        <f t="shared" si="23"/>
        <v>72000</v>
      </c>
    </row>
    <row r="455" spans="1:15">
      <c r="A455" s="8" t="s">
        <v>663</v>
      </c>
      <c r="B455" s="9">
        <v>45244</v>
      </c>
      <c r="C455" s="10">
        <v>2023</v>
      </c>
      <c r="D455" s="8" t="s">
        <v>41</v>
      </c>
      <c r="E455" s="8" t="s">
        <v>17</v>
      </c>
      <c r="F455" s="8" t="s">
        <v>18</v>
      </c>
      <c r="G455" s="8" t="s">
        <v>53</v>
      </c>
      <c r="H455" s="8" t="s">
        <v>193</v>
      </c>
      <c r="I455" s="8" t="s">
        <v>194</v>
      </c>
      <c r="J455" s="11">
        <v>2</v>
      </c>
      <c r="K455" s="12">
        <v>3000</v>
      </c>
      <c r="L455" s="12">
        <f t="shared" si="21"/>
        <v>6000</v>
      </c>
      <c r="M455" s="13">
        <v>0</v>
      </c>
      <c r="N455" s="12">
        <f t="shared" si="22"/>
        <v>0</v>
      </c>
      <c r="O455" s="12">
        <f t="shared" si="23"/>
        <v>6000</v>
      </c>
    </row>
    <row r="456" spans="1:15">
      <c r="A456" s="2" t="s">
        <v>664</v>
      </c>
      <c r="B456" s="3">
        <v>45231</v>
      </c>
      <c r="C456" s="4">
        <v>2023</v>
      </c>
      <c r="D456" s="2" t="s">
        <v>41</v>
      </c>
      <c r="E456" s="2" t="s">
        <v>24</v>
      </c>
      <c r="F456" s="2" t="s">
        <v>25</v>
      </c>
      <c r="G456" s="2" t="s">
        <v>19</v>
      </c>
      <c r="H456" s="2" t="s">
        <v>116</v>
      </c>
      <c r="I456" s="2" t="s">
        <v>156</v>
      </c>
      <c r="J456" s="5">
        <v>3</v>
      </c>
      <c r="K456" s="6">
        <v>1400</v>
      </c>
      <c r="L456" s="6">
        <f t="shared" si="21"/>
        <v>4200</v>
      </c>
      <c r="M456" s="7">
        <v>0</v>
      </c>
      <c r="N456" s="6">
        <f t="shared" si="22"/>
        <v>0</v>
      </c>
      <c r="O456" s="6">
        <f t="shared" si="23"/>
        <v>4200</v>
      </c>
    </row>
    <row r="457" spans="1:15">
      <c r="A457" s="8" t="s">
        <v>665</v>
      </c>
      <c r="B457" s="9">
        <v>45399</v>
      </c>
      <c r="C457" s="10">
        <v>2024</v>
      </c>
      <c r="D457" s="8" t="s">
        <v>30</v>
      </c>
      <c r="E457" s="8" t="s">
        <v>35</v>
      </c>
      <c r="F457" s="8" t="s">
        <v>36</v>
      </c>
      <c r="G457" s="8" t="s">
        <v>64</v>
      </c>
      <c r="H457" s="8" t="s">
        <v>127</v>
      </c>
      <c r="I457" s="8" t="s">
        <v>128</v>
      </c>
      <c r="J457" s="11">
        <v>3</v>
      </c>
      <c r="K457" s="12">
        <v>2450</v>
      </c>
      <c r="L457" s="12">
        <f t="shared" si="21"/>
        <v>7350</v>
      </c>
      <c r="M457" s="13">
        <v>0.21199999999999999</v>
      </c>
      <c r="N457" s="12">
        <f t="shared" si="22"/>
        <v>1558.2</v>
      </c>
      <c r="O457" s="12">
        <f t="shared" si="23"/>
        <v>5791.8</v>
      </c>
    </row>
    <row r="458" spans="1:15">
      <c r="A458" s="2" t="s">
        <v>666</v>
      </c>
      <c r="B458" s="3">
        <v>44937</v>
      </c>
      <c r="C458" s="4">
        <v>2023</v>
      </c>
      <c r="D458" s="2" t="s">
        <v>169</v>
      </c>
      <c r="E458" s="2" t="s">
        <v>24</v>
      </c>
      <c r="F458" s="2" t="s">
        <v>25</v>
      </c>
      <c r="G458" s="2" t="s">
        <v>26</v>
      </c>
      <c r="H458" s="2" t="s">
        <v>110</v>
      </c>
      <c r="I458" s="2" t="s">
        <v>330</v>
      </c>
      <c r="J458" s="5">
        <v>1</v>
      </c>
      <c r="K458" s="6">
        <v>26000</v>
      </c>
      <c r="L458" s="6">
        <f t="shared" si="21"/>
        <v>26000</v>
      </c>
      <c r="M458" s="7">
        <v>0</v>
      </c>
      <c r="N458" s="6">
        <f t="shared" si="22"/>
        <v>0</v>
      </c>
      <c r="O458" s="6">
        <f t="shared" si="23"/>
        <v>26000</v>
      </c>
    </row>
    <row r="459" spans="1:15">
      <c r="A459" s="8" t="s">
        <v>667</v>
      </c>
      <c r="B459" s="9">
        <v>45041</v>
      </c>
      <c r="C459" s="10">
        <v>2023</v>
      </c>
      <c r="D459" s="8" t="s">
        <v>30</v>
      </c>
      <c r="E459" s="8" t="s">
        <v>35</v>
      </c>
      <c r="F459" s="8" t="s">
        <v>36</v>
      </c>
      <c r="G459" s="8" t="s">
        <v>31</v>
      </c>
      <c r="H459" s="8" t="s">
        <v>84</v>
      </c>
      <c r="I459" s="8" t="s">
        <v>634</v>
      </c>
      <c r="J459" s="11">
        <v>5</v>
      </c>
      <c r="K459" s="12">
        <v>700</v>
      </c>
      <c r="L459" s="12">
        <f t="shared" si="21"/>
        <v>3500</v>
      </c>
      <c r="M459" s="13">
        <v>3.0000000000000001E-3</v>
      </c>
      <c r="N459" s="12">
        <f t="shared" si="22"/>
        <v>10.5</v>
      </c>
      <c r="O459" s="12">
        <f t="shared" si="23"/>
        <v>3489.5</v>
      </c>
    </row>
    <row r="460" spans="1:15">
      <c r="A460" s="2" t="s">
        <v>668</v>
      </c>
      <c r="B460" s="3">
        <v>45748</v>
      </c>
      <c r="C460" s="4">
        <v>2025</v>
      </c>
      <c r="D460" s="2" t="s">
        <v>30</v>
      </c>
      <c r="E460" s="2" t="s">
        <v>24</v>
      </c>
      <c r="F460" s="2" t="s">
        <v>25</v>
      </c>
      <c r="G460" s="2" t="s">
        <v>19</v>
      </c>
      <c r="H460" s="2" t="s">
        <v>271</v>
      </c>
      <c r="I460" s="2" t="s">
        <v>272</v>
      </c>
      <c r="J460" s="5">
        <v>3</v>
      </c>
      <c r="K460" s="6">
        <v>1150</v>
      </c>
      <c r="L460" s="6">
        <f t="shared" si="21"/>
        <v>3450</v>
      </c>
      <c r="M460" s="7">
        <v>2.3E-2</v>
      </c>
      <c r="N460" s="6">
        <f t="shared" si="22"/>
        <v>79.349999999999994</v>
      </c>
      <c r="O460" s="6">
        <f t="shared" si="23"/>
        <v>3370.65</v>
      </c>
    </row>
    <row r="461" spans="1:15">
      <c r="A461" s="8" t="s">
        <v>669</v>
      </c>
      <c r="B461" s="9">
        <v>45045</v>
      </c>
      <c r="C461" s="10">
        <v>2023</v>
      </c>
      <c r="D461" s="8" t="s">
        <v>30</v>
      </c>
      <c r="E461" s="8" t="s">
        <v>17</v>
      </c>
      <c r="F461" s="8" t="s">
        <v>18</v>
      </c>
      <c r="G461" s="8" t="s">
        <v>37</v>
      </c>
      <c r="H461" s="8" t="s">
        <v>49</v>
      </c>
      <c r="I461" s="8" t="s">
        <v>79</v>
      </c>
      <c r="J461" s="11">
        <v>1</v>
      </c>
      <c r="K461" s="12">
        <v>3850</v>
      </c>
      <c r="L461" s="12">
        <f t="shared" si="21"/>
        <v>3850</v>
      </c>
      <c r="M461" s="13">
        <v>0</v>
      </c>
      <c r="N461" s="12">
        <f t="shared" si="22"/>
        <v>0</v>
      </c>
      <c r="O461" s="12">
        <f t="shared" si="23"/>
        <v>3850</v>
      </c>
    </row>
    <row r="462" spans="1:15">
      <c r="A462" s="2" t="s">
        <v>670</v>
      </c>
      <c r="B462" s="3">
        <v>45424</v>
      </c>
      <c r="C462" s="4">
        <v>2024</v>
      </c>
      <c r="D462" s="2" t="s">
        <v>48</v>
      </c>
      <c r="E462" s="2" t="s">
        <v>24</v>
      </c>
      <c r="F462" s="2" t="s">
        <v>25</v>
      </c>
      <c r="G462" s="2" t="s">
        <v>37</v>
      </c>
      <c r="H462" s="2" t="s">
        <v>38</v>
      </c>
      <c r="I462" s="2" t="s">
        <v>436</v>
      </c>
      <c r="J462" s="5">
        <v>3</v>
      </c>
      <c r="K462" s="6">
        <v>1100</v>
      </c>
      <c r="L462" s="6">
        <f t="shared" si="21"/>
        <v>3300</v>
      </c>
      <c r="M462" s="7">
        <v>0</v>
      </c>
      <c r="N462" s="6">
        <f t="shared" si="22"/>
        <v>0</v>
      </c>
      <c r="O462" s="6">
        <f t="shared" si="23"/>
        <v>3300</v>
      </c>
    </row>
    <row r="463" spans="1:15">
      <c r="A463" s="8" t="s">
        <v>671</v>
      </c>
      <c r="B463" s="9">
        <v>45671</v>
      </c>
      <c r="C463" s="10">
        <v>2025</v>
      </c>
      <c r="D463" s="8" t="s">
        <v>169</v>
      </c>
      <c r="E463" s="8" t="s">
        <v>17</v>
      </c>
      <c r="F463" s="8" t="s">
        <v>18</v>
      </c>
      <c r="G463" s="8" t="s">
        <v>19</v>
      </c>
      <c r="H463" s="8" t="s">
        <v>141</v>
      </c>
      <c r="I463" s="8" t="s">
        <v>392</v>
      </c>
      <c r="J463" s="11">
        <v>5</v>
      </c>
      <c r="K463" s="12">
        <v>1000</v>
      </c>
      <c r="L463" s="12">
        <f t="shared" si="21"/>
        <v>5000</v>
      </c>
      <c r="M463" s="13">
        <v>0</v>
      </c>
      <c r="N463" s="12">
        <f t="shared" si="22"/>
        <v>0</v>
      </c>
      <c r="O463" s="12">
        <f t="shared" si="23"/>
        <v>5000</v>
      </c>
    </row>
    <row r="464" spans="1:15">
      <c r="A464" s="2" t="s">
        <v>672</v>
      </c>
      <c r="B464" s="3">
        <v>45500</v>
      </c>
      <c r="C464" s="4">
        <v>2024</v>
      </c>
      <c r="D464" s="2" t="s">
        <v>68</v>
      </c>
      <c r="E464" s="2" t="s">
        <v>35</v>
      </c>
      <c r="F464" s="2" t="s">
        <v>36</v>
      </c>
      <c r="G464" s="2" t="s">
        <v>19</v>
      </c>
      <c r="H464" s="2" t="s">
        <v>69</v>
      </c>
      <c r="I464" s="2" t="s">
        <v>70</v>
      </c>
      <c r="J464" s="5">
        <v>4</v>
      </c>
      <c r="K464" s="6">
        <v>550</v>
      </c>
      <c r="L464" s="6">
        <f t="shared" si="21"/>
        <v>2200</v>
      </c>
      <c r="M464" s="7">
        <v>4.1000000000000002E-2</v>
      </c>
      <c r="N464" s="6">
        <f t="shared" si="22"/>
        <v>90.2</v>
      </c>
      <c r="O464" s="6">
        <f t="shared" si="23"/>
        <v>2109.8000000000002</v>
      </c>
    </row>
    <row r="465" spans="1:15">
      <c r="A465" s="8" t="s">
        <v>673</v>
      </c>
      <c r="B465" s="9">
        <v>45644</v>
      </c>
      <c r="C465" s="10">
        <v>2024</v>
      </c>
      <c r="D465" s="8" t="s">
        <v>16</v>
      </c>
      <c r="E465" s="8" t="s">
        <v>17</v>
      </c>
      <c r="F465" s="8" t="s">
        <v>18</v>
      </c>
      <c r="G465" s="8" t="s">
        <v>26</v>
      </c>
      <c r="H465" s="8" t="s">
        <v>110</v>
      </c>
      <c r="I465" s="8" t="s">
        <v>111</v>
      </c>
      <c r="J465" s="11">
        <v>1</v>
      </c>
      <c r="K465" s="12">
        <v>77500</v>
      </c>
      <c r="L465" s="12">
        <f t="shared" si="21"/>
        <v>77500</v>
      </c>
      <c r="M465" s="13">
        <v>0</v>
      </c>
      <c r="N465" s="12">
        <f t="shared" si="22"/>
        <v>0</v>
      </c>
      <c r="O465" s="12">
        <f t="shared" si="23"/>
        <v>77500</v>
      </c>
    </row>
    <row r="466" spans="1:15">
      <c r="A466" s="2" t="s">
        <v>674</v>
      </c>
      <c r="B466" s="3">
        <v>45206</v>
      </c>
      <c r="C466" s="4">
        <v>2023</v>
      </c>
      <c r="D466" s="2" t="s">
        <v>72</v>
      </c>
      <c r="E466" s="2" t="s">
        <v>17</v>
      </c>
      <c r="F466" s="2" t="s">
        <v>18</v>
      </c>
      <c r="G466" s="2" t="s">
        <v>19</v>
      </c>
      <c r="H466" s="2" t="s">
        <v>116</v>
      </c>
      <c r="I466" s="2" t="s">
        <v>210</v>
      </c>
      <c r="J466" s="5">
        <v>1</v>
      </c>
      <c r="K466" s="6">
        <v>1350</v>
      </c>
      <c r="L466" s="6">
        <f t="shared" si="21"/>
        <v>1350</v>
      </c>
      <c r="M466" s="7">
        <v>0</v>
      </c>
      <c r="N466" s="6">
        <f t="shared" si="22"/>
        <v>0</v>
      </c>
      <c r="O466" s="6">
        <f t="shared" si="23"/>
        <v>1350</v>
      </c>
    </row>
    <row r="467" spans="1:15">
      <c r="A467" s="8" t="s">
        <v>675</v>
      </c>
      <c r="B467" s="9">
        <v>45532</v>
      </c>
      <c r="C467" s="10">
        <v>2024</v>
      </c>
      <c r="D467" s="8" t="s">
        <v>52</v>
      </c>
      <c r="E467" s="8" t="s">
        <v>24</v>
      </c>
      <c r="F467" s="8" t="s">
        <v>25</v>
      </c>
      <c r="G467" s="8" t="s">
        <v>44</v>
      </c>
      <c r="H467" s="8" t="s">
        <v>61</v>
      </c>
      <c r="I467" s="8" t="s">
        <v>232</v>
      </c>
      <c r="J467" s="11">
        <v>5</v>
      </c>
      <c r="K467" s="12">
        <v>1050</v>
      </c>
      <c r="L467" s="12">
        <f t="shared" si="21"/>
        <v>5250</v>
      </c>
      <c r="M467" s="13">
        <v>0</v>
      </c>
      <c r="N467" s="12">
        <f t="shared" si="22"/>
        <v>0</v>
      </c>
      <c r="O467" s="12">
        <f t="shared" si="23"/>
        <v>5250</v>
      </c>
    </row>
    <row r="468" spans="1:15">
      <c r="A468" s="2" t="s">
        <v>676</v>
      </c>
      <c r="B468" s="3">
        <v>45712</v>
      </c>
      <c r="C468" s="4">
        <v>2025</v>
      </c>
      <c r="D468" s="2" t="s">
        <v>23</v>
      </c>
      <c r="E468" s="2" t="s">
        <v>42</v>
      </c>
      <c r="F468" s="2" t="s">
        <v>43</v>
      </c>
      <c r="G468" s="2" t="s">
        <v>19</v>
      </c>
      <c r="H468" s="2" t="s">
        <v>141</v>
      </c>
      <c r="I468" s="2" t="s">
        <v>142</v>
      </c>
      <c r="J468" s="5">
        <v>5</v>
      </c>
      <c r="K468" s="6">
        <v>1650</v>
      </c>
      <c r="L468" s="6">
        <f t="shared" si="21"/>
        <v>8250</v>
      </c>
      <c r="M468" s="7">
        <v>0</v>
      </c>
      <c r="N468" s="6">
        <f t="shared" si="22"/>
        <v>0</v>
      </c>
      <c r="O468" s="6">
        <f t="shared" si="23"/>
        <v>8250</v>
      </c>
    </row>
    <row r="469" spans="1:15">
      <c r="A469" s="8" t="s">
        <v>677</v>
      </c>
      <c r="B469" s="9">
        <v>45290</v>
      </c>
      <c r="C469" s="10">
        <v>2023</v>
      </c>
      <c r="D469" s="8" t="s">
        <v>16</v>
      </c>
      <c r="E469" s="8" t="s">
        <v>42</v>
      </c>
      <c r="F469" s="8" t="s">
        <v>43</v>
      </c>
      <c r="G469" s="8" t="s">
        <v>44</v>
      </c>
      <c r="H469" s="8" t="s">
        <v>45</v>
      </c>
      <c r="I469" s="8" t="s">
        <v>190</v>
      </c>
      <c r="J469" s="11">
        <v>4</v>
      </c>
      <c r="K469" s="12">
        <v>350</v>
      </c>
      <c r="L469" s="12">
        <f t="shared" si="21"/>
        <v>1400</v>
      </c>
      <c r="M469" s="13">
        <v>9.5000000000000001E-2</v>
      </c>
      <c r="N469" s="12">
        <f t="shared" si="22"/>
        <v>133</v>
      </c>
      <c r="O469" s="12">
        <f t="shared" si="23"/>
        <v>1267</v>
      </c>
    </row>
    <row r="470" spans="1:15">
      <c r="A470" s="2" t="s">
        <v>678</v>
      </c>
      <c r="B470" s="3">
        <v>45615</v>
      </c>
      <c r="C470" s="4">
        <v>2024</v>
      </c>
      <c r="D470" s="2" t="s">
        <v>41</v>
      </c>
      <c r="E470" s="2" t="s">
        <v>17</v>
      </c>
      <c r="F470" s="2" t="s">
        <v>18</v>
      </c>
      <c r="G470" s="2" t="s">
        <v>53</v>
      </c>
      <c r="H470" s="2" t="s">
        <v>193</v>
      </c>
      <c r="I470" s="2" t="s">
        <v>334</v>
      </c>
      <c r="J470" s="5">
        <v>3</v>
      </c>
      <c r="K470" s="6">
        <v>500</v>
      </c>
      <c r="L470" s="6">
        <f t="shared" si="21"/>
        <v>1500</v>
      </c>
      <c r="M470" s="7">
        <v>0</v>
      </c>
      <c r="N470" s="6">
        <f t="shared" si="22"/>
        <v>0</v>
      </c>
      <c r="O470" s="6">
        <f t="shared" si="23"/>
        <v>1500</v>
      </c>
    </row>
    <row r="471" spans="1:15">
      <c r="A471" s="8" t="s">
        <v>679</v>
      </c>
      <c r="B471" s="9">
        <v>45801</v>
      </c>
      <c r="C471" s="10">
        <v>2025</v>
      </c>
      <c r="D471" s="8" t="s">
        <v>48</v>
      </c>
      <c r="E471" s="8" t="s">
        <v>24</v>
      </c>
      <c r="F471" s="8" t="s">
        <v>25</v>
      </c>
      <c r="G471" s="8" t="s">
        <v>64</v>
      </c>
      <c r="H471" s="8" t="s">
        <v>65</v>
      </c>
      <c r="I471" s="8" t="s">
        <v>66</v>
      </c>
      <c r="J471" s="11">
        <v>1</v>
      </c>
      <c r="K471" s="12">
        <v>4100</v>
      </c>
      <c r="L471" s="12">
        <f t="shared" si="21"/>
        <v>4100</v>
      </c>
      <c r="M471" s="13">
        <v>0.27500000000000002</v>
      </c>
      <c r="N471" s="12">
        <f t="shared" si="22"/>
        <v>1127.5</v>
      </c>
      <c r="O471" s="12">
        <f t="shared" si="23"/>
        <v>2972.5</v>
      </c>
    </row>
    <row r="472" spans="1:15">
      <c r="A472" s="2" t="s">
        <v>680</v>
      </c>
      <c r="B472" s="3">
        <v>45176</v>
      </c>
      <c r="C472" s="4">
        <v>2023</v>
      </c>
      <c r="D472" s="2" t="s">
        <v>123</v>
      </c>
      <c r="E472" s="2" t="s">
        <v>17</v>
      </c>
      <c r="F472" s="2" t="s">
        <v>18</v>
      </c>
      <c r="G472" s="2" t="s">
        <v>44</v>
      </c>
      <c r="H472" s="2" t="s">
        <v>45</v>
      </c>
      <c r="I472" s="2" t="s">
        <v>190</v>
      </c>
      <c r="J472" s="5">
        <v>3</v>
      </c>
      <c r="K472" s="6">
        <v>500</v>
      </c>
      <c r="L472" s="6">
        <f t="shared" si="21"/>
        <v>1500</v>
      </c>
      <c r="M472" s="7">
        <v>0</v>
      </c>
      <c r="N472" s="6">
        <f t="shared" si="22"/>
        <v>0</v>
      </c>
      <c r="O472" s="6">
        <f t="shared" si="23"/>
        <v>1500</v>
      </c>
    </row>
    <row r="473" spans="1:15">
      <c r="A473" s="8" t="s">
        <v>681</v>
      </c>
      <c r="B473" s="9">
        <v>45955</v>
      </c>
      <c r="C473" s="10">
        <v>2025</v>
      </c>
      <c r="D473" s="8" t="s">
        <v>72</v>
      </c>
      <c r="E473" s="8" t="s">
        <v>42</v>
      </c>
      <c r="F473" s="8" t="s">
        <v>43</v>
      </c>
      <c r="G473" s="8" t="s">
        <v>26</v>
      </c>
      <c r="H473" s="8" t="s">
        <v>27</v>
      </c>
      <c r="I473" s="8" t="s">
        <v>336</v>
      </c>
      <c r="J473" s="11">
        <v>1</v>
      </c>
      <c r="K473" s="12">
        <v>28000</v>
      </c>
      <c r="L473" s="12">
        <f t="shared" si="21"/>
        <v>28000</v>
      </c>
      <c r="M473" s="13">
        <v>0.108</v>
      </c>
      <c r="N473" s="12">
        <f t="shared" si="22"/>
        <v>3024</v>
      </c>
      <c r="O473" s="12">
        <f t="shared" si="23"/>
        <v>24976</v>
      </c>
    </row>
    <row r="474" spans="1:15">
      <c r="A474" s="2" t="s">
        <v>682</v>
      </c>
      <c r="B474" s="3">
        <v>45546</v>
      </c>
      <c r="C474" s="4">
        <v>2024</v>
      </c>
      <c r="D474" s="2" t="s">
        <v>123</v>
      </c>
      <c r="E474" s="2" t="s">
        <v>35</v>
      </c>
      <c r="F474" s="2" t="s">
        <v>36</v>
      </c>
      <c r="G474" s="2" t="s">
        <v>64</v>
      </c>
      <c r="H474" s="2" t="s">
        <v>94</v>
      </c>
      <c r="I474" s="2" t="s">
        <v>420</v>
      </c>
      <c r="J474" s="5">
        <v>1</v>
      </c>
      <c r="K474" s="6">
        <v>3800</v>
      </c>
      <c r="L474" s="6">
        <f t="shared" si="21"/>
        <v>3800</v>
      </c>
      <c r="M474" s="7">
        <v>0.13400000000000001</v>
      </c>
      <c r="N474" s="6">
        <f t="shared" si="22"/>
        <v>509.20000000000005</v>
      </c>
      <c r="O474" s="6">
        <f t="shared" si="23"/>
        <v>3290.8</v>
      </c>
    </row>
    <row r="475" spans="1:15">
      <c r="A475" s="8" t="s">
        <v>683</v>
      </c>
      <c r="B475" s="9">
        <v>45021</v>
      </c>
      <c r="C475" s="10">
        <v>2023</v>
      </c>
      <c r="D475" s="8" t="s">
        <v>30</v>
      </c>
      <c r="E475" s="8" t="s">
        <v>42</v>
      </c>
      <c r="F475" s="8" t="s">
        <v>43</v>
      </c>
      <c r="G475" s="8" t="s">
        <v>19</v>
      </c>
      <c r="H475" s="8" t="s">
        <v>141</v>
      </c>
      <c r="I475" s="8" t="s">
        <v>278</v>
      </c>
      <c r="J475" s="11">
        <v>1</v>
      </c>
      <c r="K475" s="12">
        <v>1950</v>
      </c>
      <c r="L475" s="12">
        <f t="shared" si="21"/>
        <v>1950</v>
      </c>
      <c r="M475" s="13">
        <v>0</v>
      </c>
      <c r="N475" s="12">
        <f t="shared" si="22"/>
        <v>0</v>
      </c>
      <c r="O475" s="12">
        <f t="shared" si="23"/>
        <v>1950</v>
      </c>
    </row>
    <row r="476" spans="1:15">
      <c r="A476" s="2" t="s">
        <v>684</v>
      </c>
      <c r="B476" s="3">
        <v>45661</v>
      </c>
      <c r="C476" s="4">
        <v>2025</v>
      </c>
      <c r="D476" s="2" t="s">
        <v>169</v>
      </c>
      <c r="E476" s="2" t="s">
        <v>42</v>
      </c>
      <c r="F476" s="2" t="s">
        <v>43</v>
      </c>
      <c r="G476" s="2" t="s">
        <v>57</v>
      </c>
      <c r="H476" s="2" t="s">
        <v>75</v>
      </c>
      <c r="I476" s="2" t="s">
        <v>184</v>
      </c>
      <c r="J476" s="5">
        <v>1</v>
      </c>
      <c r="K476" s="6">
        <v>1050</v>
      </c>
      <c r="L476" s="6">
        <f t="shared" si="21"/>
        <v>1050</v>
      </c>
      <c r="M476" s="7">
        <v>0</v>
      </c>
      <c r="N476" s="6">
        <f t="shared" si="22"/>
        <v>0</v>
      </c>
      <c r="O476" s="6">
        <f t="shared" si="23"/>
        <v>1050</v>
      </c>
    </row>
    <row r="477" spans="1:15">
      <c r="A477" s="8" t="s">
        <v>685</v>
      </c>
      <c r="B477" s="9">
        <v>45885</v>
      </c>
      <c r="C477" s="10">
        <v>2025</v>
      </c>
      <c r="D477" s="8" t="s">
        <v>52</v>
      </c>
      <c r="E477" s="8" t="s">
        <v>42</v>
      </c>
      <c r="F477" s="8" t="s">
        <v>43</v>
      </c>
      <c r="G477" s="8" t="s">
        <v>26</v>
      </c>
      <c r="H477" s="8" t="s">
        <v>27</v>
      </c>
      <c r="I477" s="8" t="s">
        <v>28</v>
      </c>
      <c r="J477" s="11">
        <v>2</v>
      </c>
      <c r="K477" s="12">
        <v>84000</v>
      </c>
      <c r="L477" s="12">
        <f t="shared" si="21"/>
        <v>168000</v>
      </c>
      <c r="M477" s="13">
        <v>0</v>
      </c>
      <c r="N477" s="12">
        <f t="shared" si="22"/>
        <v>0</v>
      </c>
      <c r="O477" s="12">
        <f t="shared" si="23"/>
        <v>168000</v>
      </c>
    </row>
    <row r="478" spans="1:15">
      <c r="A478" s="2" t="s">
        <v>686</v>
      </c>
      <c r="B478" s="3">
        <v>45590</v>
      </c>
      <c r="C478" s="4">
        <v>2024</v>
      </c>
      <c r="D478" s="2" t="s">
        <v>72</v>
      </c>
      <c r="E478" s="2" t="s">
        <v>35</v>
      </c>
      <c r="F478" s="2" t="s">
        <v>36</v>
      </c>
      <c r="G478" s="2" t="s">
        <v>64</v>
      </c>
      <c r="H478" s="2" t="s">
        <v>127</v>
      </c>
      <c r="I478" s="2" t="s">
        <v>479</v>
      </c>
      <c r="J478" s="5">
        <v>1</v>
      </c>
      <c r="K478" s="6">
        <v>2300</v>
      </c>
      <c r="L478" s="6">
        <f t="shared" si="21"/>
        <v>2300</v>
      </c>
      <c r="M478" s="7">
        <v>0</v>
      </c>
      <c r="N478" s="6">
        <f t="shared" si="22"/>
        <v>0</v>
      </c>
      <c r="O478" s="6">
        <f t="shared" si="23"/>
        <v>2300</v>
      </c>
    </row>
    <row r="479" spans="1:15">
      <c r="A479" s="8" t="s">
        <v>687</v>
      </c>
      <c r="B479" s="9">
        <v>45222</v>
      </c>
      <c r="C479" s="10">
        <v>2023</v>
      </c>
      <c r="D479" s="8" t="s">
        <v>72</v>
      </c>
      <c r="E479" s="8" t="s">
        <v>17</v>
      </c>
      <c r="F479" s="8" t="s">
        <v>18</v>
      </c>
      <c r="G479" s="8" t="s">
        <v>37</v>
      </c>
      <c r="H479" s="8" t="s">
        <v>38</v>
      </c>
      <c r="I479" s="8" t="s">
        <v>89</v>
      </c>
      <c r="J479" s="11">
        <v>3</v>
      </c>
      <c r="K479" s="12">
        <v>2000</v>
      </c>
      <c r="L479" s="12">
        <f t="shared" si="21"/>
        <v>6000</v>
      </c>
      <c r="M479" s="13">
        <v>1.9E-2</v>
      </c>
      <c r="N479" s="12">
        <f t="shared" si="22"/>
        <v>114</v>
      </c>
      <c r="O479" s="12">
        <f t="shared" si="23"/>
        <v>5886</v>
      </c>
    </row>
    <row r="480" spans="1:15">
      <c r="A480" s="2" t="s">
        <v>688</v>
      </c>
      <c r="B480" s="3">
        <v>46000</v>
      </c>
      <c r="C480" s="4">
        <v>2025</v>
      </c>
      <c r="D480" s="2" t="s">
        <v>16</v>
      </c>
      <c r="E480" s="2" t="s">
        <v>24</v>
      </c>
      <c r="F480" s="2" t="s">
        <v>25</v>
      </c>
      <c r="G480" s="2" t="s">
        <v>19</v>
      </c>
      <c r="H480" s="2" t="s">
        <v>141</v>
      </c>
      <c r="I480" s="2" t="s">
        <v>392</v>
      </c>
      <c r="J480" s="5">
        <v>2</v>
      </c>
      <c r="K480" s="6">
        <v>1350</v>
      </c>
      <c r="L480" s="6">
        <f t="shared" si="21"/>
        <v>2700</v>
      </c>
      <c r="M480" s="7">
        <v>0.02</v>
      </c>
      <c r="N480" s="6">
        <f t="shared" si="22"/>
        <v>54</v>
      </c>
      <c r="O480" s="6">
        <f t="shared" si="23"/>
        <v>2646</v>
      </c>
    </row>
    <row r="481" spans="1:15">
      <c r="A481" s="8" t="s">
        <v>689</v>
      </c>
      <c r="B481" s="9">
        <v>45370</v>
      </c>
      <c r="C481" s="10">
        <v>2024</v>
      </c>
      <c r="D481" s="8" t="s">
        <v>78</v>
      </c>
      <c r="E481" s="8" t="s">
        <v>35</v>
      </c>
      <c r="F481" s="8" t="s">
        <v>36</v>
      </c>
      <c r="G481" s="8" t="s">
        <v>19</v>
      </c>
      <c r="H481" s="8" t="s">
        <v>271</v>
      </c>
      <c r="I481" s="8" t="s">
        <v>272</v>
      </c>
      <c r="J481" s="11">
        <v>3</v>
      </c>
      <c r="K481" s="12">
        <v>1350</v>
      </c>
      <c r="L481" s="12">
        <f t="shared" si="21"/>
        <v>4050</v>
      </c>
      <c r="M481" s="13">
        <v>0</v>
      </c>
      <c r="N481" s="12">
        <f t="shared" si="22"/>
        <v>0</v>
      </c>
      <c r="O481" s="12">
        <f t="shared" si="23"/>
        <v>4050</v>
      </c>
    </row>
    <row r="482" spans="1:15">
      <c r="A482" s="2" t="s">
        <v>690</v>
      </c>
      <c r="B482" s="3">
        <v>45040</v>
      </c>
      <c r="C482" s="4">
        <v>2023</v>
      </c>
      <c r="D482" s="2" t="s">
        <v>30</v>
      </c>
      <c r="E482" s="2" t="s">
        <v>24</v>
      </c>
      <c r="F482" s="2" t="s">
        <v>25</v>
      </c>
      <c r="G482" s="2" t="s">
        <v>31</v>
      </c>
      <c r="H482" s="2" t="s">
        <v>84</v>
      </c>
      <c r="I482" s="2" t="s">
        <v>85</v>
      </c>
      <c r="J482" s="5">
        <v>4</v>
      </c>
      <c r="K482" s="6">
        <v>850</v>
      </c>
      <c r="L482" s="6">
        <f t="shared" si="21"/>
        <v>3400</v>
      </c>
      <c r="M482" s="7">
        <v>1.2999999999999999E-2</v>
      </c>
      <c r="N482" s="6">
        <f t="shared" si="22"/>
        <v>44.199999999999996</v>
      </c>
      <c r="O482" s="6">
        <f t="shared" si="23"/>
        <v>3355.8</v>
      </c>
    </row>
    <row r="483" spans="1:15">
      <c r="A483" s="8" t="s">
        <v>691</v>
      </c>
      <c r="B483" s="9">
        <v>45732</v>
      </c>
      <c r="C483" s="10">
        <v>2025</v>
      </c>
      <c r="D483" s="8" t="s">
        <v>78</v>
      </c>
      <c r="E483" s="8" t="s">
        <v>17</v>
      </c>
      <c r="F483" s="8" t="s">
        <v>18</v>
      </c>
      <c r="G483" s="8" t="s">
        <v>19</v>
      </c>
      <c r="H483" s="8" t="s">
        <v>20</v>
      </c>
      <c r="I483" s="8" t="s">
        <v>21</v>
      </c>
      <c r="J483" s="11">
        <v>3</v>
      </c>
      <c r="K483" s="12">
        <v>1400</v>
      </c>
      <c r="L483" s="12">
        <f t="shared" si="21"/>
        <v>4200</v>
      </c>
      <c r="M483" s="13">
        <v>0</v>
      </c>
      <c r="N483" s="12">
        <f t="shared" si="22"/>
        <v>0</v>
      </c>
      <c r="O483" s="12">
        <f t="shared" si="23"/>
        <v>4200</v>
      </c>
    </row>
    <row r="484" spans="1:15">
      <c r="A484" s="2" t="s">
        <v>692</v>
      </c>
      <c r="B484" s="3">
        <v>45471</v>
      </c>
      <c r="C484" s="4">
        <v>2024</v>
      </c>
      <c r="D484" s="2" t="s">
        <v>100</v>
      </c>
      <c r="E484" s="2" t="s">
        <v>42</v>
      </c>
      <c r="F484" s="2" t="s">
        <v>43</v>
      </c>
      <c r="G484" s="2" t="s">
        <v>57</v>
      </c>
      <c r="H484" s="2" t="s">
        <v>200</v>
      </c>
      <c r="I484" s="2" t="s">
        <v>360</v>
      </c>
      <c r="J484" s="5">
        <v>1</v>
      </c>
      <c r="K484" s="6">
        <v>1400</v>
      </c>
      <c r="L484" s="6">
        <f t="shared" si="21"/>
        <v>1400</v>
      </c>
      <c r="M484" s="7">
        <v>0.24299999999999999</v>
      </c>
      <c r="N484" s="6">
        <f t="shared" si="22"/>
        <v>340.2</v>
      </c>
      <c r="O484" s="6">
        <f t="shared" si="23"/>
        <v>1059.8</v>
      </c>
    </row>
    <row r="485" spans="1:15">
      <c r="A485" s="8" t="s">
        <v>693</v>
      </c>
      <c r="B485" s="9">
        <v>45064</v>
      </c>
      <c r="C485" s="10">
        <v>2023</v>
      </c>
      <c r="D485" s="8" t="s">
        <v>48</v>
      </c>
      <c r="E485" s="8" t="s">
        <v>24</v>
      </c>
      <c r="F485" s="8" t="s">
        <v>25</v>
      </c>
      <c r="G485" s="8" t="s">
        <v>64</v>
      </c>
      <c r="H485" s="8" t="s">
        <v>65</v>
      </c>
      <c r="I485" s="8" t="s">
        <v>66</v>
      </c>
      <c r="J485" s="11">
        <v>1</v>
      </c>
      <c r="K485" s="12">
        <v>3700</v>
      </c>
      <c r="L485" s="12">
        <f t="shared" si="21"/>
        <v>3700</v>
      </c>
      <c r="M485" s="13">
        <v>0</v>
      </c>
      <c r="N485" s="12">
        <f t="shared" si="22"/>
        <v>0</v>
      </c>
      <c r="O485" s="12">
        <f t="shared" si="23"/>
        <v>3700</v>
      </c>
    </row>
    <row r="486" spans="1:15">
      <c r="A486" s="2" t="s">
        <v>694</v>
      </c>
      <c r="B486" s="3">
        <v>45681</v>
      </c>
      <c r="C486" s="4">
        <v>2025</v>
      </c>
      <c r="D486" s="2" t="s">
        <v>169</v>
      </c>
      <c r="E486" s="2" t="s">
        <v>17</v>
      </c>
      <c r="F486" s="2" t="s">
        <v>18</v>
      </c>
      <c r="G486" s="2" t="s">
        <v>26</v>
      </c>
      <c r="H486" s="2" t="s">
        <v>113</v>
      </c>
      <c r="I486" s="2" t="s">
        <v>332</v>
      </c>
      <c r="J486" s="5">
        <v>1</v>
      </c>
      <c r="K486" s="6">
        <v>30500</v>
      </c>
      <c r="L486" s="6">
        <f t="shared" si="21"/>
        <v>30500</v>
      </c>
      <c r="M486" s="7">
        <v>0.112</v>
      </c>
      <c r="N486" s="6">
        <f t="shared" si="22"/>
        <v>3416</v>
      </c>
      <c r="O486" s="6">
        <f t="shared" si="23"/>
        <v>27084</v>
      </c>
    </row>
    <row r="487" spans="1:15">
      <c r="A487" s="8" t="s">
        <v>695</v>
      </c>
      <c r="B487" s="9">
        <v>45732</v>
      </c>
      <c r="C487" s="10">
        <v>2025</v>
      </c>
      <c r="D487" s="8" t="s">
        <v>78</v>
      </c>
      <c r="E487" s="8" t="s">
        <v>42</v>
      </c>
      <c r="F487" s="8" t="s">
        <v>43</v>
      </c>
      <c r="G487" s="8" t="s">
        <v>19</v>
      </c>
      <c r="H487" s="8" t="s">
        <v>116</v>
      </c>
      <c r="I487" s="8" t="s">
        <v>156</v>
      </c>
      <c r="J487" s="11">
        <v>4</v>
      </c>
      <c r="K487" s="12">
        <v>420</v>
      </c>
      <c r="L487" s="12">
        <f t="shared" si="21"/>
        <v>1680</v>
      </c>
      <c r="M487" s="13">
        <v>1.7999999999999999E-2</v>
      </c>
      <c r="N487" s="12">
        <f t="shared" si="22"/>
        <v>30.24</v>
      </c>
      <c r="O487" s="12">
        <f t="shared" si="23"/>
        <v>1649.76</v>
      </c>
    </row>
    <row r="488" spans="1:15">
      <c r="A488" s="2" t="s">
        <v>696</v>
      </c>
      <c r="B488" s="3">
        <v>45261</v>
      </c>
      <c r="C488" s="4">
        <v>2023</v>
      </c>
      <c r="D488" s="2" t="s">
        <v>16</v>
      </c>
      <c r="E488" s="2" t="s">
        <v>35</v>
      </c>
      <c r="F488" s="2" t="s">
        <v>36</v>
      </c>
      <c r="G488" s="2" t="s">
        <v>64</v>
      </c>
      <c r="H488" s="2" t="s">
        <v>65</v>
      </c>
      <c r="I488" s="2" t="s">
        <v>73</v>
      </c>
      <c r="J488" s="5">
        <v>1</v>
      </c>
      <c r="K488" s="6">
        <v>2900</v>
      </c>
      <c r="L488" s="6">
        <f t="shared" si="21"/>
        <v>2900</v>
      </c>
      <c r="M488" s="7">
        <v>9.6000000000000002E-2</v>
      </c>
      <c r="N488" s="6">
        <f t="shared" si="22"/>
        <v>278.40000000000003</v>
      </c>
      <c r="O488" s="6">
        <f t="shared" si="23"/>
        <v>2621.6</v>
      </c>
    </row>
    <row r="489" spans="1:15">
      <c r="A489" s="8" t="s">
        <v>697</v>
      </c>
      <c r="B489" s="9">
        <v>45911</v>
      </c>
      <c r="C489" s="10">
        <v>2025</v>
      </c>
      <c r="D489" s="8" t="s">
        <v>123</v>
      </c>
      <c r="E489" s="8" t="s">
        <v>42</v>
      </c>
      <c r="F489" s="8" t="s">
        <v>43</v>
      </c>
      <c r="G489" s="8" t="s">
        <v>57</v>
      </c>
      <c r="H489" s="8" t="s">
        <v>75</v>
      </c>
      <c r="I489" s="8" t="s">
        <v>144</v>
      </c>
      <c r="J489" s="11">
        <v>1</v>
      </c>
      <c r="K489" s="12">
        <v>1100</v>
      </c>
      <c r="L489" s="12">
        <f t="shared" si="21"/>
        <v>1100</v>
      </c>
      <c r="M489" s="13">
        <v>0</v>
      </c>
      <c r="N489" s="12">
        <f t="shared" si="22"/>
        <v>0</v>
      </c>
      <c r="O489" s="12">
        <f t="shared" si="23"/>
        <v>1100</v>
      </c>
    </row>
    <row r="490" spans="1:15">
      <c r="A490" s="2" t="s">
        <v>698</v>
      </c>
      <c r="B490" s="3">
        <v>45630</v>
      </c>
      <c r="C490" s="4">
        <v>2024</v>
      </c>
      <c r="D490" s="2" t="s">
        <v>16</v>
      </c>
      <c r="E490" s="2" t="s">
        <v>42</v>
      </c>
      <c r="F490" s="2" t="s">
        <v>43</v>
      </c>
      <c r="G490" s="2" t="s">
        <v>57</v>
      </c>
      <c r="H490" s="2" t="s">
        <v>75</v>
      </c>
      <c r="I490" s="2" t="s">
        <v>499</v>
      </c>
      <c r="J490" s="5">
        <v>1</v>
      </c>
      <c r="K490" s="6">
        <v>2150</v>
      </c>
      <c r="L490" s="6">
        <f t="shared" si="21"/>
        <v>2150</v>
      </c>
      <c r="M490" s="7">
        <v>0.11899999999999999</v>
      </c>
      <c r="N490" s="6">
        <f t="shared" si="22"/>
        <v>255.85</v>
      </c>
      <c r="O490" s="6">
        <f t="shared" si="23"/>
        <v>1894.15</v>
      </c>
    </row>
    <row r="491" spans="1:15">
      <c r="A491" s="8" t="s">
        <v>699</v>
      </c>
      <c r="B491" s="9">
        <v>45145</v>
      </c>
      <c r="C491" s="10">
        <v>2023</v>
      </c>
      <c r="D491" s="8" t="s">
        <v>52</v>
      </c>
      <c r="E491" s="8" t="s">
        <v>17</v>
      </c>
      <c r="F491" s="8" t="s">
        <v>18</v>
      </c>
      <c r="G491" s="8" t="s">
        <v>44</v>
      </c>
      <c r="H491" s="8" t="s">
        <v>223</v>
      </c>
      <c r="I491" s="8" t="s">
        <v>239</v>
      </c>
      <c r="J491" s="11">
        <v>10</v>
      </c>
      <c r="K491" s="12">
        <v>800</v>
      </c>
      <c r="L491" s="12">
        <f t="shared" si="21"/>
        <v>8000</v>
      </c>
      <c r="M491" s="13">
        <v>4.2999999999999997E-2</v>
      </c>
      <c r="N491" s="12">
        <f t="shared" si="22"/>
        <v>344</v>
      </c>
      <c r="O491" s="12">
        <f t="shared" si="23"/>
        <v>7656</v>
      </c>
    </row>
    <row r="492" spans="1:15">
      <c r="A492" s="2" t="s">
        <v>700</v>
      </c>
      <c r="B492" s="3">
        <v>45017</v>
      </c>
      <c r="C492" s="4">
        <v>2023</v>
      </c>
      <c r="D492" s="2" t="s">
        <v>30</v>
      </c>
      <c r="E492" s="2" t="s">
        <v>24</v>
      </c>
      <c r="F492" s="2" t="s">
        <v>25</v>
      </c>
      <c r="G492" s="2" t="s">
        <v>19</v>
      </c>
      <c r="H492" s="2" t="s">
        <v>69</v>
      </c>
      <c r="I492" s="2" t="s">
        <v>248</v>
      </c>
      <c r="J492" s="5">
        <v>1</v>
      </c>
      <c r="K492" s="6">
        <v>950</v>
      </c>
      <c r="L492" s="6">
        <f t="shared" si="21"/>
        <v>950</v>
      </c>
      <c r="M492" s="7">
        <v>3.3000000000000002E-2</v>
      </c>
      <c r="N492" s="6">
        <f t="shared" si="22"/>
        <v>31.35</v>
      </c>
      <c r="O492" s="6">
        <f t="shared" si="23"/>
        <v>918.65</v>
      </c>
    </row>
    <row r="493" spans="1:15">
      <c r="A493" s="8" t="s">
        <v>701</v>
      </c>
      <c r="B493" s="9">
        <v>45095</v>
      </c>
      <c r="C493" s="10">
        <v>2023</v>
      </c>
      <c r="D493" s="8" t="s">
        <v>100</v>
      </c>
      <c r="E493" s="8" t="s">
        <v>24</v>
      </c>
      <c r="F493" s="8" t="s">
        <v>25</v>
      </c>
      <c r="G493" s="8" t="s">
        <v>44</v>
      </c>
      <c r="H493" s="8" t="s">
        <v>61</v>
      </c>
      <c r="I493" s="8" t="s">
        <v>348</v>
      </c>
      <c r="J493" s="11">
        <v>3</v>
      </c>
      <c r="K493" s="12">
        <v>1450</v>
      </c>
      <c r="L493" s="12">
        <f t="shared" si="21"/>
        <v>4350</v>
      </c>
      <c r="M493" s="13">
        <v>0</v>
      </c>
      <c r="N493" s="12">
        <f t="shared" si="22"/>
        <v>0</v>
      </c>
      <c r="O493" s="12">
        <f t="shared" si="23"/>
        <v>4350</v>
      </c>
    </row>
    <row r="494" spans="1:15">
      <c r="A494" s="2" t="s">
        <v>702</v>
      </c>
      <c r="B494" s="3">
        <v>45219</v>
      </c>
      <c r="C494" s="4">
        <v>2023</v>
      </c>
      <c r="D494" s="2" t="s">
        <v>72</v>
      </c>
      <c r="E494" s="2" t="s">
        <v>24</v>
      </c>
      <c r="F494" s="2" t="s">
        <v>25</v>
      </c>
      <c r="G494" s="2" t="s">
        <v>19</v>
      </c>
      <c r="H494" s="2" t="s">
        <v>141</v>
      </c>
      <c r="I494" s="2" t="s">
        <v>392</v>
      </c>
      <c r="J494" s="5">
        <v>4</v>
      </c>
      <c r="K494" s="6">
        <v>1000</v>
      </c>
      <c r="L494" s="6">
        <f t="shared" si="21"/>
        <v>4000</v>
      </c>
      <c r="M494" s="7">
        <v>0</v>
      </c>
      <c r="N494" s="6">
        <f t="shared" si="22"/>
        <v>0</v>
      </c>
      <c r="O494" s="6">
        <f t="shared" si="23"/>
        <v>4000</v>
      </c>
    </row>
    <row r="495" spans="1:15">
      <c r="A495" s="8" t="s">
        <v>703</v>
      </c>
      <c r="B495" s="9">
        <v>45021</v>
      </c>
      <c r="C495" s="10">
        <v>2023</v>
      </c>
      <c r="D495" s="8" t="s">
        <v>30</v>
      </c>
      <c r="E495" s="8" t="s">
        <v>24</v>
      </c>
      <c r="F495" s="8" t="s">
        <v>25</v>
      </c>
      <c r="G495" s="8" t="s">
        <v>37</v>
      </c>
      <c r="H495" s="8" t="s">
        <v>91</v>
      </c>
      <c r="I495" s="8" t="s">
        <v>344</v>
      </c>
      <c r="J495" s="11">
        <v>1</v>
      </c>
      <c r="K495" s="12">
        <v>600</v>
      </c>
      <c r="L495" s="12">
        <f t="shared" si="21"/>
        <v>600</v>
      </c>
      <c r="M495" s="13">
        <v>0</v>
      </c>
      <c r="N495" s="12">
        <f t="shared" si="22"/>
        <v>0</v>
      </c>
      <c r="O495" s="12">
        <f t="shared" si="23"/>
        <v>600</v>
      </c>
    </row>
    <row r="496" spans="1:15">
      <c r="A496" s="2" t="s">
        <v>704</v>
      </c>
      <c r="B496" s="3">
        <v>45937</v>
      </c>
      <c r="C496" s="4">
        <v>2025</v>
      </c>
      <c r="D496" s="2" t="s">
        <v>72</v>
      </c>
      <c r="E496" s="2" t="s">
        <v>35</v>
      </c>
      <c r="F496" s="2" t="s">
        <v>36</v>
      </c>
      <c r="G496" s="2" t="s">
        <v>64</v>
      </c>
      <c r="H496" s="2" t="s">
        <v>94</v>
      </c>
      <c r="I496" s="2" t="s">
        <v>420</v>
      </c>
      <c r="J496" s="5">
        <v>3</v>
      </c>
      <c r="K496" s="6">
        <v>3150</v>
      </c>
      <c r="L496" s="6">
        <f t="shared" si="21"/>
        <v>9450</v>
      </c>
      <c r="M496" s="7">
        <v>0.23200000000000001</v>
      </c>
      <c r="N496" s="6">
        <f t="shared" si="22"/>
        <v>2192.4</v>
      </c>
      <c r="O496" s="6">
        <f t="shared" si="23"/>
        <v>7257.6</v>
      </c>
    </row>
    <row r="497" spans="1:15">
      <c r="A497" s="8" t="s">
        <v>705</v>
      </c>
      <c r="B497" s="9">
        <v>44990</v>
      </c>
      <c r="C497" s="10">
        <v>2023</v>
      </c>
      <c r="D497" s="8" t="s">
        <v>78</v>
      </c>
      <c r="E497" s="8" t="s">
        <v>17</v>
      </c>
      <c r="F497" s="8" t="s">
        <v>18</v>
      </c>
      <c r="G497" s="8" t="s">
        <v>37</v>
      </c>
      <c r="H497" s="8" t="s">
        <v>38</v>
      </c>
      <c r="I497" s="8" t="s">
        <v>89</v>
      </c>
      <c r="J497" s="11">
        <v>1</v>
      </c>
      <c r="K497" s="12">
        <v>3350</v>
      </c>
      <c r="L497" s="12">
        <f t="shared" si="21"/>
        <v>3350</v>
      </c>
      <c r="M497" s="13">
        <v>0.01</v>
      </c>
      <c r="N497" s="12">
        <f t="shared" si="22"/>
        <v>33.5</v>
      </c>
      <c r="O497" s="12">
        <f t="shared" si="23"/>
        <v>3316.5</v>
      </c>
    </row>
    <row r="498" spans="1:15">
      <c r="A498" s="2" t="s">
        <v>706</v>
      </c>
      <c r="B498" s="3">
        <v>45984</v>
      </c>
      <c r="C498" s="4">
        <v>2025</v>
      </c>
      <c r="D498" s="2" t="s">
        <v>41</v>
      </c>
      <c r="E498" s="2" t="s">
        <v>17</v>
      </c>
      <c r="F498" s="2" t="s">
        <v>18</v>
      </c>
      <c r="G498" s="2" t="s">
        <v>19</v>
      </c>
      <c r="H498" s="2" t="s">
        <v>141</v>
      </c>
      <c r="I498" s="2" t="s">
        <v>283</v>
      </c>
      <c r="J498" s="5">
        <v>3</v>
      </c>
      <c r="K498" s="6">
        <v>500</v>
      </c>
      <c r="L498" s="6">
        <f t="shared" si="21"/>
        <v>1500</v>
      </c>
      <c r="M498" s="7">
        <v>0</v>
      </c>
      <c r="N498" s="6">
        <f t="shared" si="22"/>
        <v>0</v>
      </c>
      <c r="O498" s="6">
        <f t="shared" si="23"/>
        <v>1500</v>
      </c>
    </row>
    <row r="499" spans="1:15">
      <c r="A499" s="8" t="s">
        <v>707</v>
      </c>
      <c r="B499" s="9">
        <v>44942</v>
      </c>
      <c r="C499" s="10">
        <v>2023</v>
      </c>
      <c r="D499" s="8" t="s">
        <v>169</v>
      </c>
      <c r="E499" s="8" t="s">
        <v>35</v>
      </c>
      <c r="F499" s="8" t="s">
        <v>36</v>
      </c>
      <c r="G499" s="8" t="s">
        <v>37</v>
      </c>
      <c r="H499" s="8" t="s">
        <v>38</v>
      </c>
      <c r="I499" s="8" t="s">
        <v>403</v>
      </c>
      <c r="J499" s="11">
        <v>1</v>
      </c>
      <c r="K499" s="12">
        <v>3500</v>
      </c>
      <c r="L499" s="12">
        <f t="shared" si="21"/>
        <v>3500</v>
      </c>
      <c r="M499" s="13">
        <v>1.2E-2</v>
      </c>
      <c r="N499" s="12">
        <f t="shared" si="22"/>
        <v>42</v>
      </c>
      <c r="O499" s="12">
        <f t="shared" si="23"/>
        <v>3458</v>
      </c>
    </row>
    <row r="500" spans="1:15">
      <c r="A500" s="2" t="s">
        <v>708</v>
      </c>
      <c r="B500" s="3">
        <v>45010</v>
      </c>
      <c r="C500" s="4">
        <v>2023</v>
      </c>
      <c r="D500" s="2" t="s">
        <v>78</v>
      </c>
      <c r="E500" s="2" t="s">
        <v>35</v>
      </c>
      <c r="F500" s="2" t="s">
        <v>36</v>
      </c>
      <c r="G500" s="2" t="s">
        <v>57</v>
      </c>
      <c r="H500" s="2" t="s">
        <v>58</v>
      </c>
      <c r="I500" s="2" t="s">
        <v>151</v>
      </c>
      <c r="J500" s="5">
        <v>1</v>
      </c>
      <c r="K500" s="6">
        <v>4850</v>
      </c>
      <c r="L500" s="6">
        <f t="shared" si="21"/>
        <v>4850</v>
      </c>
      <c r="M500" s="7">
        <v>7.2999999999999995E-2</v>
      </c>
      <c r="N500" s="6">
        <f t="shared" si="22"/>
        <v>354.04999999999995</v>
      </c>
      <c r="O500" s="6">
        <f t="shared" si="23"/>
        <v>4495.95</v>
      </c>
    </row>
    <row r="501" spans="1:15">
      <c r="A501" s="8" t="s">
        <v>709</v>
      </c>
      <c r="B501" s="9">
        <v>45296</v>
      </c>
      <c r="C501" s="10">
        <v>2024</v>
      </c>
      <c r="D501" s="8" t="s">
        <v>169</v>
      </c>
      <c r="E501" s="8" t="s">
        <v>24</v>
      </c>
      <c r="F501" s="8" t="s">
        <v>25</v>
      </c>
      <c r="G501" s="8" t="s">
        <v>53</v>
      </c>
      <c r="H501" s="8" t="s">
        <v>136</v>
      </c>
      <c r="I501" s="8" t="s">
        <v>137</v>
      </c>
      <c r="J501" s="11">
        <v>1</v>
      </c>
      <c r="K501" s="12">
        <v>4200</v>
      </c>
      <c r="L501" s="12">
        <f t="shared" si="21"/>
        <v>4200</v>
      </c>
      <c r="M501" s="13">
        <v>0</v>
      </c>
      <c r="N501" s="12">
        <f t="shared" si="22"/>
        <v>0</v>
      </c>
      <c r="O501" s="12">
        <f t="shared" si="23"/>
        <v>4200</v>
      </c>
    </row>
    <row r="502" spans="1:15">
      <c r="A502" s="2" t="s">
        <v>710</v>
      </c>
      <c r="B502" s="3">
        <v>45862</v>
      </c>
      <c r="C502" s="4">
        <v>2025</v>
      </c>
      <c r="D502" s="2" t="s">
        <v>68</v>
      </c>
      <c r="E502" s="2" t="s">
        <v>42</v>
      </c>
      <c r="F502" s="2" t="s">
        <v>43</v>
      </c>
      <c r="G502" s="2" t="s">
        <v>64</v>
      </c>
      <c r="H502" s="2" t="s">
        <v>97</v>
      </c>
      <c r="I502" s="2" t="s">
        <v>300</v>
      </c>
      <c r="J502" s="5">
        <v>2</v>
      </c>
      <c r="K502" s="6">
        <v>3550</v>
      </c>
      <c r="L502" s="6">
        <f t="shared" si="21"/>
        <v>7100</v>
      </c>
      <c r="M502" s="7">
        <v>0</v>
      </c>
      <c r="N502" s="6">
        <f t="shared" si="22"/>
        <v>0</v>
      </c>
      <c r="O502" s="6">
        <f t="shared" si="23"/>
        <v>7100</v>
      </c>
    </row>
    <row r="503" spans="1:15">
      <c r="A503" s="8" t="s">
        <v>711</v>
      </c>
      <c r="B503" s="9">
        <v>45388</v>
      </c>
      <c r="C503" s="10">
        <v>2024</v>
      </c>
      <c r="D503" s="8" t="s">
        <v>30</v>
      </c>
      <c r="E503" s="8" t="s">
        <v>35</v>
      </c>
      <c r="F503" s="8" t="s">
        <v>36</v>
      </c>
      <c r="G503" s="8" t="s">
        <v>44</v>
      </c>
      <c r="H503" s="8" t="s">
        <v>45</v>
      </c>
      <c r="I503" s="8" t="s">
        <v>190</v>
      </c>
      <c r="J503" s="11">
        <v>8</v>
      </c>
      <c r="K503" s="12">
        <v>1050</v>
      </c>
      <c r="L503" s="12">
        <f t="shared" si="21"/>
        <v>8400</v>
      </c>
      <c r="M503" s="13">
        <v>0</v>
      </c>
      <c r="N503" s="12">
        <f t="shared" si="22"/>
        <v>0</v>
      </c>
      <c r="O503" s="12">
        <f t="shared" si="23"/>
        <v>8400</v>
      </c>
    </row>
    <row r="504" spans="1:15">
      <c r="A504" s="2" t="s">
        <v>712</v>
      </c>
      <c r="B504" s="3">
        <v>45861</v>
      </c>
      <c r="C504" s="4">
        <v>2025</v>
      </c>
      <c r="D504" s="2" t="s">
        <v>68</v>
      </c>
      <c r="E504" s="2" t="s">
        <v>42</v>
      </c>
      <c r="F504" s="2" t="s">
        <v>43</v>
      </c>
      <c r="G504" s="2" t="s">
        <v>53</v>
      </c>
      <c r="H504" s="2" t="s">
        <v>285</v>
      </c>
      <c r="I504" s="2" t="s">
        <v>713</v>
      </c>
      <c r="J504" s="5">
        <v>2</v>
      </c>
      <c r="K504" s="6">
        <v>4350</v>
      </c>
      <c r="L504" s="6">
        <f t="shared" si="21"/>
        <v>8700</v>
      </c>
      <c r="M504" s="7">
        <v>0</v>
      </c>
      <c r="N504" s="6">
        <f t="shared" si="22"/>
        <v>0</v>
      </c>
      <c r="O504" s="6">
        <f t="shared" si="23"/>
        <v>8700</v>
      </c>
    </row>
    <row r="505" spans="1:15">
      <c r="A505" s="8" t="s">
        <v>714</v>
      </c>
      <c r="B505" s="9">
        <v>44987</v>
      </c>
      <c r="C505" s="10">
        <v>2023</v>
      </c>
      <c r="D505" s="8" t="s">
        <v>78</v>
      </c>
      <c r="E505" s="8" t="s">
        <v>42</v>
      </c>
      <c r="F505" s="8" t="s">
        <v>43</v>
      </c>
      <c r="G505" s="8" t="s">
        <v>57</v>
      </c>
      <c r="H505" s="8" t="s">
        <v>200</v>
      </c>
      <c r="I505" s="8" t="s">
        <v>360</v>
      </c>
      <c r="J505" s="11">
        <v>1</v>
      </c>
      <c r="K505" s="12">
        <v>2600</v>
      </c>
      <c r="L505" s="12">
        <f t="shared" si="21"/>
        <v>2600</v>
      </c>
      <c r="M505" s="13">
        <v>0</v>
      </c>
      <c r="N505" s="12">
        <f t="shared" si="22"/>
        <v>0</v>
      </c>
      <c r="O505" s="12">
        <f t="shared" si="23"/>
        <v>2600</v>
      </c>
    </row>
    <row r="506" spans="1:15">
      <c r="A506" s="2" t="s">
        <v>715</v>
      </c>
      <c r="B506" s="3">
        <v>44943</v>
      </c>
      <c r="C506" s="4">
        <v>2023</v>
      </c>
      <c r="D506" s="2" t="s">
        <v>169</v>
      </c>
      <c r="E506" s="2" t="s">
        <v>35</v>
      </c>
      <c r="F506" s="2" t="s">
        <v>36</v>
      </c>
      <c r="G506" s="2" t="s">
        <v>31</v>
      </c>
      <c r="H506" s="2" t="s">
        <v>81</v>
      </c>
      <c r="I506" s="2" t="s">
        <v>82</v>
      </c>
      <c r="J506" s="5">
        <v>2</v>
      </c>
      <c r="K506" s="6">
        <v>1000</v>
      </c>
      <c r="L506" s="6">
        <f t="shared" si="21"/>
        <v>2000</v>
      </c>
      <c r="M506" s="7">
        <v>0</v>
      </c>
      <c r="N506" s="6">
        <f t="shared" si="22"/>
        <v>0</v>
      </c>
      <c r="O506" s="6">
        <f t="shared" si="23"/>
        <v>2000</v>
      </c>
    </row>
    <row r="507" spans="1:15">
      <c r="A507" s="8" t="s">
        <v>716</v>
      </c>
      <c r="B507" s="9">
        <v>45249</v>
      </c>
      <c r="C507" s="10">
        <v>2023</v>
      </c>
      <c r="D507" s="8" t="s">
        <v>41</v>
      </c>
      <c r="E507" s="8" t="s">
        <v>17</v>
      </c>
      <c r="F507" s="8" t="s">
        <v>18</v>
      </c>
      <c r="G507" s="8" t="s">
        <v>44</v>
      </c>
      <c r="H507" s="8" t="s">
        <v>45</v>
      </c>
      <c r="I507" s="8" t="s">
        <v>190</v>
      </c>
      <c r="J507" s="11">
        <v>3</v>
      </c>
      <c r="K507" s="12">
        <v>500</v>
      </c>
      <c r="L507" s="12">
        <f t="shared" si="21"/>
        <v>1500</v>
      </c>
      <c r="M507" s="13">
        <v>0</v>
      </c>
      <c r="N507" s="12">
        <f t="shared" si="22"/>
        <v>0</v>
      </c>
      <c r="O507" s="12">
        <f t="shared" si="23"/>
        <v>1500</v>
      </c>
    </row>
    <row r="508" spans="1:15">
      <c r="A508" s="2" t="s">
        <v>717</v>
      </c>
      <c r="B508" s="3">
        <v>45457</v>
      </c>
      <c r="C508" s="4">
        <v>2024</v>
      </c>
      <c r="D508" s="2" t="s">
        <v>100</v>
      </c>
      <c r="E508" s="2" t="s">
        <v>24</v>
      </c>
      <c r="F508" s="2" t="s">
        <v>25</v>
      </c>
      <c r="G508" s="2" t="s">
        <v>64</v>
      </c>
      <c r="H508" s="2" t="s">
        <v>65</v>
      </c>
      <c r="I508" s="2" t="s">
        <v>309</v>
      </c>
      <c r="J508" s="5">
        <v>1</v>
      </c>
      <c r="K508" s="6">
        <v>2000</v>
      </c>
      <c r="L508" s="6">
        <f t="shared" si="21"/>
        <v>2000</v>
      </c>
      <c r="M508" s="7">
        <v>0</v>
      </c>
      <c r="N508" s="6">
        <f t="shared" si="22"/>
        <v>0</v>
      </c>
      <c r="O508" s="6">
        <f t="shared" si="23"/>
        <v>2000</v>
      </c>
    </row>
    <row r="509" spans="1:15">
      <c r="A509" s="8" t="s">
        <v>718</v>
      </c>
      <c r="B509" s="9">
        <v>45700</v>
      </c>
      <c r="C509" s="10">
        <v>2025</v>
      </c>
      <c r="D509" s="8" t="s">
        <v>23</v>
      </c>
      <c r="E509" s="8" t="s">
        <v>35</v>
      </c>
      <c r="F509" s="8" t="s">
        <v>36</v>
      </c>
      <c r="G509" s="8" t="s">
        <v>19</v>
      </c>
      <c r="H509" s="8" t="s">
        <v>116</v>
      </c>
      <c r="I509" s="8" t="s">
        <v>156</v>
      </c>
      <c r="J509" s="11">
        <v>8</v>
      </c>
      <c r="K509" s="12">
        <v>1400</v>
      </c>
      <c r="L509" s="12">
        <f t="shared" si="21"/>
        <v>11200</v>
      </c>
      <c r="M509" s="13">
        <v>0</v>
      </c>
      <c r="N509" s="12">
        <f t="shared" si="22"/>
        <v>0</v>
      </c>
      <c r="O509" s="12">
        <f t="shared" si="23"/>
        <v>11200</v>
      </c>
    </row>
    <row r="510" spans="1:15">
      <c r="A510" s="2" t="s">
        <v>719</v>
      </c>
      <c r="B510" s="3">
        <v>45504</v>
      </c>
      <c r="C510" s="4">
        <v>2024</v>
      </c>
      <c r="D510" s="2" t="s">
        <v>68</v>
      </c>
      <c r="E510" s="2" t="s">
        <v>17</v>
      </c>
      <c r="F510" s="2" t="s">
        <v>18</v>
      </c>
      <c r="G510" s="2" t="s">
        <v>53</v>
      </c>
      <c r="H510" s="2" t="s">
        <v>54</v>
      </c>
      <c r="I510" s="2" t="s">
        <v>268</v>
      </c>
      <c r="J510" s="5">
        <v>1</v>
      </c>
      <c r="K510" s="6">
        <v>2450</v>
      </c>
      <c r="L510" s="6">
        <f t="shared" si="21"/>
        <v>2450</v>
      </c>
      <c r="M510" s="7">
        <v>8.2000000000000003E-2</v>
      </c>
      <c r="N510" s="6">
        <f t="shared" si="22"/>
        <v>200.9</v>
      </c>
      <c r="O510" s="6">
        <f t="shared" si="23"/>
        <v>2249.1</v>
      </c>
    </row>
    <row r="511" spans="1:15">
      <c r="A511" s="8" t="s">
        <v>720</v>
      </c>
      <c r="B511" s="9">
        <v>45733</v>
      </c>
      <c r="C511" s="10">
        <v>2025</v>
      </c>
      <c r="D511" s="8" t="s">
        <v>78</v>
      </c>
      <c r="E511" s="8" t="s">
        <v>42</v>
      </c>
      <c r="F511" s="8" t="s">
        <v>43</v>
      </c>
      <c r="G511" s="8" t="s">
        <v>26</v>
      </c>
      <c r="H511" s="8" t="s">
        <v>110</v>
      </c>
      <c r="I511" s="8" t="s">
        <v>313</v>
      </c>
      <c r="J511" s="11">
        <v>1</v>
      </c>
      <c r="K511" s="12">
        <v>51000</v>
      </c>
      <c r="L511" s="12">
        <f t="shared" si="21"/>
        <v>51000</v>
      </c>
      <c r="M511" s="13">
        <v>0</v>
      </c>
      <c r="N511" s="12">
        <f t="shared" si="22"/>
        <v>0</v>
      </c>
      <c r="O511" s="12">
        <f t="shared" si="23"/>
        <v>51000</v>
      </c>
    </row>
    <row r="512" spans="1:15">
      <c r="A512" s="2" t="s">
        <v>721</v>
      </c>
      <c r="B512" s="3">
        <v>45461</v>
      </c>
      <c r="C512" s="4">
        <v>2024</v>
      </c>
      <c r="D512" s="2" t="s">
        <v>100</v>
      </c>
      <c r="E512" s="2" t="s">
        <v>17</v>
      </c>
      <c r="F512" s="2" t="s">
        <v>18</v>
      </c>
      <c r="G512" s="2" t="s">
        <v>19</v>
      </c>
      <c r="H512" s="2" t="s">
        <v>107</v>
      </c>
      <c r="I512" s="2" t="s">
        <v>242</v>
      </c>
      <c r="J512" s="5">
        <v>10</v>
      </c>
      <c r="K512" s="6">
        <v>470</v>
      </c>
      <c r="L512" s="6">
        <f t="shared" si="21"/>
        <v>4700</v>
      </c>
      <c r="M512" s="7">
        <v>0</v>
      </c>
      <c r="N512" s="6">
        <f t="shared" si="22"/>
        <v>0</v>
      </c>
      <c r="O512" s="6">
        <f t="shared" si="23"/>
        <v>4700</v>
      </c>
    </row>
    <row r="513" spans="1:15">
      <c r="A513" s="8" t="s">
        <v>722</v>
      </c>
      <c r="B513" s="9">
        <v>45907</v>
      </c>
      <c r="C513" s="10">
        <v>2025</v>
      </c>
      <c r="D513" s="8" t="s">
        <v>123</v>
      </c>
      <c r="E513" s="8" t="s">
        <v>42</v>
      </c>
      <c r="F513" s="8" t="s">
        <v>43</v>
      </c>
      <c r="G513" s="8" t="s">
        <v>53</v>
      </c>
      <c r="H513" s="8" t="s">
        <v>193</v>
      </c>
      <c r="I513" s="8" t="s">
        <v>438</v>
      </c>
      <c r="J513" s="11">
        <v>2</v>
      </c>
      <c r="K513" s="12">
        <v>3050</v>
      </c>
      <c r="L513" s="12">
        <f t="shared" si="21"/>
        <v>6100</v>
      </c>
      <c r="M513" s="13">
        <v>0</v>
      </c>
      <c r="N513" s="12">
        <f t="shared" si="22"/>
        <v>0</v>
      </c>
      <c r="O513" s="12">
        <f t="shared" si="23"/>
        <v>6100</v>
      </c>
    </row>
    <row r="514" spans="1:15">
      <c r="A514" s="2" t="s">
        <v>723</v>
      </c>
      <c r="B514" s="3">
        <v>45708</v>
      </c>
      <c r="C514" s="4">
        <v>2025</v>
      </c>
      <c r="D514" s="2" t="s">
        <v>23</v>
      </c>
      <c r="E514" s="2" t="s">
        <v>42</v>
      </c>
      <c r="F514" s="2" t="s">
        <v>43</v>
      </c>
      <c r="G514" s="2" t="s">
        <v>31</v>
      </c>
      <c r="H514" s="2" t="s">
        <v>124</v>
      </c>
      <c r="I514" s="2" t="s">
        <v>125</v>
      </c>
      <c r="J514" s="5">
        <v>1</v>
      </c>
      <c r="K514" s="6">
        <v>900</v>
      </c>
      <c r="L514" s="6">
        <f t="shared" ref="L514:L577" si="24">J514*K514</f>
        <v>900</v>
      </c>
      <c r="M514" s="7">
        <v>0</v>
      </c>
      <c r="N514" s="6">
        <f t="shared" ref="N514:N577" si="25">L514*M514</f>
        <v>0</v>
      </c>
      <c r="O514" s="6">
        <f t="shared" ref="O514:O577" si="26">L514-N514</f>
        <v>900</v>
      </c>
    </row>
    <row r="515" spans="1:15">
      <c r="A515" s="8" t="s">
        <v>724</v>
      </c>
      <c r="B515" s="9">
        <v>45014</v>
      </c>
      <c r="C515" s="10">
        <v>2023</v>
      </c>
      <c r="D515" s="8" t="s">
        <v>78</v>
      </c>
      <c r="E515" s="8" t="s">
        <v>35</v>
      </c>
      <c r="F515" s="8" t="s">
        <v>36</v>
      </c>
      <c r="G515" s="8" t="s">
        <v>26</v>
      </c>
      <c r="H515" s="8" t="s">
        <v>27</v>
      </c>
      <c r="I515" s="8" t="s">
        <v>336</v>
      </c>
      <c r="J515" s="11">
        <v>1</v>
      </c>
      <c r="K515" s="12">
        <v>54500</v>
      </c>
      <c r="L515" s="12">
        <f t="shared" si="24"/>
        <v>54500</v>
      </c>
      <c r="M515" s="13">
        <v>0.112</v>
      </c>
      <c r="N515" s="12">
        <f t="shared" si="25"/>
        <v>6104</v>
      </c>
      <c r="O515" s="12">
        <f t="shared" si="26"/>
        <v>48396</v>
      </c>
    </row>
    <row r="516" spans="1:15">
      <c r="A516" s="2" t="s">
        <v>725</v>
      </c>
      <c r="B516" s="3">
        <v>45531</v>
      </c>
      <c r="C516" s="4">
        <v>2024</v>
      </c>
      <c r="D516" s="2" t="s">
        <v>52</v>
      </c>
      <c r="E516" s="2" t="s">
        <v>24</v>
      </c>
      <c r="F516" s="2" t="s">
        <v>25</v>
      </c>
      <c r="G516" s="2" t="s">
        <v>26</v>
      </c>
      <c r="H516" s="2" t="s">
        <v>27</v>
      </c>
      <c r="I516" s="2" t="s">
        <v>28</v>
      </c>
      <c r="J516" s="5">
        <v>1</v>
      </c>
      <c r="K516" s="6">
        <v>28500</v>
      </c>
      <c r="L516" s="6">
        <f t="shared" si="24"/>
        <v>28500</v>
      </c>
      <c r="M516" s="7">
        <v>0</v>
      </c>
      <c r="N516" s="6">
        <f t="shared" si="25"/>
        <v>0</v>
      </c>
      <c r="O516" s="6">
        <f t="shared" si="26"/>
        <v>28500</v>
      </c>
    </row>
    <row r="517" spans="1:15">
      <c r="A517" s="8" t="s">
        <v>726</v>
      </c>
      <c r="B517" s="9">
        <v>45862</v>
      </c>
      <c r="C517" s="10">
        <v>2025</v>
      </c>
      <c r="D517" s="8" t="s">
        <v>68</v>
      </c>
      <c r="E517" s="8" t="s">
        <v>35</v>
      </c>
      <c r="F517" s="8" t="s">
        <v>36</v>
      </c>
      <c r="G517" s="8" t="s">
        <v>26</v>
      </c>
      <c r="H517" s="8" t="s">
        <v>27</v>
      </c>
      <c r="I517" s="8" t="s">
        <v>237</v>
      </c>
      <c r="J517" s="11">
        <v>1</v>
      </c>
      <c r="K517" s="12">
        <v>79500</v>
      </c>
      <c r="L517" s="12">
        <f t="shared" si="24"/>
        <v>79500</v>
      </c>
      <c r="M517" s="13">
        <v>0</v>
      </c>
      <c r="N517" s="12">
        <f t="shared" si="25"/>
        <v>0</v>
      </c>
      <c r="O517" s="12">
        <f t="shared" si="26"/>
        <v>79500</v>
      </c>
    </row>
    <row r="518" spans="1:15">
      <c r="A518" s="2" t="s">
        <v>727</v>
      </c>
      <c r="B518" s="3">
        <v>45300</v>
      </c>
      <c r="C518" s="4">
        <v>2024</v>
      </c>
      <c r="D518" s="2" t="s">
        <v>169</v>
      </c>
      <c r="E518" s="2" t="s">
        <v>35</v>
      </c>
      <c r="F518" s="2" t="s">
        <v>36</v>
      </c>
      <c r="G518" s="2" t="s">
        <v>53</v>
      </c>
      <c r="H518" s="2" t="s">
        <v>193</v>
      </c>
      <c r="I518" s="2" t="s">
        <v>334</v>
      </c>
      <c r="J518" s="5">
        <v>3</v>
      </c>
      <c r="K518" s="6">
        <v>2300</v>
      </c>
      <c r="L518" s="6">
        <f t="shared" si="24"/>
        <v>6900</v>
      </c>
      <c r="M518" s="7">
        <v>0</v>
      </c>
      <c r="N518" s="6">
        <f t="shared" si="25"/>
        <v>0</v>
      </c>
      <c r="O518" s="6">
        <f t="shared" si="26"/>
        <v>6900</v>
      </c>
    </row>
    <row r="519" spans="1:15">
      <c r="A519" s="8" t="s">
        <v>728</v>
      </c>
      <c r="B519" s="9">
        <v>45841</v>
      </c>
      <c r="C519" s="10">
        <v>2025</v>
      </c>
      <c r="D519" s="8" t="s">
        <v>68</v>
      </c>
      <c r="E519" s="8" t="s">
        <v>42</v>
      </c>
      <c r="F519" s="8" t="s">
        <v>43</v>
      </c>
      <c r="G519" s="8" t="s">
        <v>37</v>
      </c>
      <c r="H519" s="8" t="s">
        <v>49</v>
      </c>
      <c r="I519" s="8" t="s">
        <v>50</v>
      </c>
      <c r="J519" s="11">
        <v>1</v>
      </c>
      <c r="K519" s="12">
        <v>1000</v>
      </c>
      <c r="L519" s="12">
        <f t="shared" si="24"/>
        <v>1000</v>
      </c>
      <c r="M519" s="13">
        <v>9.8000000000000004E-2</v>
      </c>
      <c r="N519" s="12">
        <f t="shared" si="25"/>
        <v>98</v>
      </c>
      <c r="O519" s="12">
        <f t="shared" si="26"/>
        <v>902</v>
      </c>
    </row>
    <row r="520" spans="1:15">
      <c r="A520" s="2" t="s">
        <v>729</v>
      </c>
      <c r="B520" s="3">
        <v>45186</v>
      </c>
      <c r="C520" s="4">
        <v>2023</v>
      </c>
      <c r="D520" s="2" t="s">
        <v>123</v>
      </c>
      <c r="E520" s="2" t="s">
        <v>24</v>
      </c>
      <c r="F520" s="2" t="s">
        <v>25</v>
      </c>
      <c r="G520" s="2" t="s">
        <v>37</v>
      </c>
      <c r="H520" s="2" t="s">
        <v>104</v>
      </c>
      <c r="I520" s="2" t="s">
        <v>105</v>
      </c>
      <c r="J520" s="5">
        <v>1</v>
      </c>
      <c r="K520" s="6">
        <v>750</v>
      </c>
      <c r="L520" s="6">
        <f t="shared" si="24"/>
        <v>750</v>
      </c>
      <c r="M520" s="7">
        <v>0</v>
      </c>
      <c r="N520" s="6">
        <f t="shared" si="25"/>
        <v>0</v>
      </c>
      <c r="O520" s="6">
        <f t="shared" si="26"/>
        <v>750</v>
      </c>
    </row>
    <row r="521" spans="1:15">
      <c r="A521" s="8" t="s">
        <v>730</v>
      </c>
      <c r="B521" s="9">
        <v>45310</v>
      </c>
      <c r="C521" s="10">
        <v>2024</v>
      </c>
      <c r="D521" s="8" t="s">
        <v>169</v>
      </c>
      <c r="E521" s="8" t="s">
        <v>42</v>
      </c>
      <c r="F521" s="8" t="s">
        <v>43</v>
      </c>
      <c r="G521" s="8" t="s">
        <v>19</v>
      </c>
      <c r="H521" s="8" t="s">
        <v>20</v>
      </c>
      <c r="I521" s="8" t="s">
        <v>120</v>
      </c>
      <c r="J521" s="11">
        <v>3</v>
      </c>
      <c r="K521" s="12">
        <v>380</v>
      </c>
      <c r="L521" s="12">
        <f t="shared" si="24"/>
        <v>1140</v>
      </c>
      <c r="M521" s="13">
        <v>3.5000000000000003E-2</v>
      </c>
      <c r="N521" s="12">
        <f t="shared" si="25"/>
        <v>39.900000000000006</v>
      </c>
      <c r="O521" s="12">
        <f t="shared" si="26"/>
        <v>1100.0999999999999</v>
      </c>
    </row>
    <row r="522" spans="1:15">
      <c r="A522" s="2" t="s">
        <v>731</v>
      </c>
      <c r="B522" s="3">
        <v>46001</v>
      </c>
      <c r="C522" s="4">
        <v>2025</v>
      </c>
      <c r="D522" s="2" t="s">
        <v>16</v>
      </c>
      <c r="E522" s="2" t="s">
        <v>42</v>
      </c>
      <c r="F522" s="2" t="s">
        <v>43</v>
      </c>
      <c r="G522" s="2" t="s">
        <v>26</v>
      </c>
      <c r="H522" s="2" t="s">
        <v>27</v>
      </c>
      <c r="I522" s="2" t="s">
        <v>237</v>
      </c>
      <c r="J522" s="5">
        <v>1</v>
      </c>
      <c r="K522" s="6">
        <v>35500</v>
      </c>
      <c r="L522" s="6">
        <f t="shared" si="24"/>
        <v>35500</v>
      </c>
      <c r="M522" s="7">
        <v>7.5999999999999998E-2</v>
      </c>
      <c r="N522" s="6">
        <f t="shared" si="25"/>
        <v>2698</v>
      </c>
      <c r="O522" s="6">
        <f t="shared" si="26"/>
        <v>32802</v>
      </c>
    </row>
    <row r="523" spans="1:15">
      <c r="A523" s="8" t="s">
        <v>732</v>
      </c>
      <c r="B523" s="9">
        <v>45959</v>
      </c>
      <c r="C523" s="10">
        <v>2025</v>
      </c>
      <c r="D523" s="8" t="s">
        <v>72</v>
      </c>
      <c r="E523" s="8" t="s">
        <v>17</v>
      </c>
      <c r="F523" s="8" t="s">
        <v>18</v>
      </c>
      <c r="G523" s="8" t="s">
        <v>53</v>
      </c>
      <c r="H523" s="8" t="s">
        <v>136</v>
      </c>
      <c r="I523" s="8" t="s">
        <v>137</v>
      </c>
      <c r="J523" s="11">
        <v>4</v>
      </c>
      <c r="K523" s="12">
        <v>3200</v>
      </c>
      <c r="L523" s="12">
        <f t="shared" si="24"/>
        <v>12800</v>
      </c>
      <c r="M523" s="13">
        <v>2.1999999999999999E-2</v>
      </c>
      <c r="N523" s="12">
        <f t="shared" si="25"/>
        <v>281.59999999999997</v>
      </c>
      <c r="O523" s="12">
        <f t="shared" si="26"/>
        <v>12518.4</v>
      </c>
    </row>
    <row r="524" spans="1:15">
      <c r="A524" s="2" t="s">
        <v>733</v>
      </c>
      <c r="B524" s="3">
        <v>45136</v>
      </c>
      <c r="C524" s="4">
        <v>2023</v>
      </c>
      <c r="D524" s="2" t="s">
        <v>68</v>
      </c>
      <c r="E524" s="2" t="s">
        <v>42</v>
      </c>
      <c r="F524" s="2" t="s">
        <v>43</v>
      </c>
      <c r="G524" s="2" t="s">
        <v>31</v>
      </c>
      <c r="H524" s="2" t="s">
        <v>124</v>
      </c>
      <c r="I524" s="2" t="s">
        <v>264</v>
      </c>
      <c r="J524" s="5">
        <v>2</v>
      </c>
      <c r="K524" s="6">
        <v>210</v>
      </c>
      <c r="L524" s="6">
        <f t="shared" si="24"/>
        <v>420</v>
      </c>
      <c r="M524" s="7">
        <v>8.0000000000000002E-3</v>
      </c>
      <c r="N524" s="6">
        <f t="shared" si="25"/>
        <v>3.36</v>
      </c>
      <c r="O524" s="6">
        <f t="shared" si="26"/>
        <v>416.64</v>
      </c>
    </row>
    <row r="525" spans="1:15">
      <c r="A525" s="8" t="s">
        <v>734</v>
      </c>
      <c r="B525" s="9">
        <v>45304</v>
      </c>
      <c r="C525" s="10">
        <v>2024</v>
      </c>
      <c r="D525" s="8" t="s">
        <v>169</v>
      </c>
      <c r="E525" s="8" t="s">
        <v>24</v>
      </c>
      <c r="F525" s="8" t="s">
        <v>25</v>
      </c>
      <c r="G525" s="8" t="s">
        <v>37</v>
      </c>
      <c r="H525" s="8" t="s">
        <v>38</v>
      </c>
      <c r="I525" s="8" t="s">
        <v>89</v>
      </c>
      <c r="J525" s="11">
        <v>1</v>
      </c>
      <c r="K525" s="12">
        <v>550</v>
      </c>
      <c r="L525" s="12">
        <f t="shared" si="24"/>
        <v>550</v>
      </c>
      <c r="M525" s="13">
        <v>6.0999999999999999E-2</v>
      </c>
      <c r="N525" s="12">
        <f t="shared" si="25"/>
        <v>33.549999999999997</v>
      </c>
      <c r="O525" s="12">
        <f t="shared" si="26"/>
        <v>516.45000000000005</v>
      </c>
    </row>
    <row r="526" spans="1:15">
      <c r="A526" s="2" t="s">
        <v>735</v>
      </c>
      <c r="B526" s="3">
        <v>45484</v>
      </c>
      <c r="C526" s="4">
        <v>2024</v>
      </c>
      <c r="D526" s="2" t="s">
        <v>68</v>
      </c>
      <c r="E526" s="2" t="s">
        <v>24</v>
      </c>
      <c r="F526" s="2" t="s">
        <v>25</v>
      </c>
      <c r="G526" s="2" t="s">
        <v>37</v>
      </c>
      <c r="H526" s="2" t="s">
        <v>49</v>
      </c>
      <c r="I526" s="2" t="s">
        <v>50</v>
      </c>
      <c r="J526" s="5">
        <v>2</v>
      </c>
      <c r="K526" s="6">
        <v>1550</v>
      </c>
      <c r="L526" s="6">
        <f t="shared" si="24"/>
        <v>3100</v>
      </c>
      <c r="M526" s="7">
        <v>0.10299999999999999</v>
      </c>
      <c r="N526" s="6">
        <f t="shared" si="25"/>
        <v>319.29999999999995</v>
      </c>
      <c r="O526" s="6">
        <f t="shared" si="26"/>
        <v>2780.7</v>
      </c>
    </row>
    <row r="527" spans="1:15">
      <c r="A527" s="8" t="s">
        <v>736</v>
      </c>
      <c r="B527" s="9">
        <v>44982</v>
      </c>
      <c r="C527" s="10">
        <v>2023</v>
      </c>
      <c r="D527" s="8" t="s">
        <v>23</v>
      </c>
      <c r="E527" s="8" t="s">
        <v>35</v>
      </c>
      <c r="F527" s="8" t="s">
        <v>36</v>
      </c>
      <c r="G527" s="8" t="s">
        <v>44</v>
      </c>
      <c r="H527" s="8" t="s">
        <v>61</v>
      </c>
      <c r="I527" s="8" t="s">
        <v>62</v>
      </c>
      <c r="J527" s="11">
        <v>1</v>
      </c>
      <c r="K527" s="12">
        <v>230</v>
      </c>
      <c r="L527" s="12">
        <f t="shared" si="24"/>
        <v>230</v>
      </c>
      <c r="M527" s="13">
        <v>1.2999999999999999E-2</v>
      </c>
      <c r="N527" s="12">
        <f t="shared" si="25"/>
        <v>2.9899999999999998</v>
      </c>
      <c r="O527" s="12">
        <f t="shared" si="26"/>
        <v>227.01</v>
      </c>
    </row>
    <row r="528" spans="1:15">
      <c r="A528" s="2" t="s">
        <v>737</v>
      </c>
      <c r="B528" s="3">
        <v>45374</v>
      </c>
      <c r="C528" s="4">
        <v>2024</v>
      </c>
      <c r="D528" s="2" t="s">
        <v>78</v>
      </c>
      <c r="E528" s="2" t="s">
        <v>42</v>
      </c>
      <c r="F528" s="2" t="s">
        <v>43</v>
      </c>
      <c r="G528" s="2" t="s">
        <v>26</v>
      </c>
      <c r="H528" s="2" t="s">
        <v>27</v>
      </c>
      <c r="I528" s="2" t="s">
        <v>237</v>
      </c>
      <c r="J528" s="5">
        <v>1</v>
      </c>
      <c r="K528" s="6">
        <v>19500</v>
      </c>
      <c r="L528" s="6">
        <f t="shared" si="24"/>
        <v>19500</v>
      </c>
      <c r="M528" s="7">
        <v>5.1999999999999998E-2</v>
      </c>
      <c r="N528" s="6">
        <f t="shared" si="25"/>
        <v>1014</v>
      </c>
      <c r="O528" s="6">
        <f t="shared" si="26"/>
        <v>18486</v>
      </c>
    </row>
    <row r="529" spans="1:15">
      <c r="A529" s="8" t="s">
        <v>738</v>
      </c>
      <c r="B529" s="9">
        <v>45871</v>
      </c>
      <c r="C529" s="10">
        <v>2025</v>
      </c>
      <c r="D529" s="8" t="s">
        <v>52</v>
      </c>
      <c r="E529" s="8" t="s">
        <v>42</v>
      </c>
      <c r="F529" s="8" t="s">
        <v>43</v>
      </c>
      <c r="G529" s="8" t="s">
        <v>19</v>
      </c>
      <c r="H529" s="8" t="s">
        <v>116</v>
      </c>
      <c r="I529" s="8" t="s">
        <v>117</v>
      </c>
      <c r="J529" s="11">
        <v>6</v>
      </c>
      <c r="K529" s="12">
        <v>700</v>
      </c>
      <c r="L529" s="12">
        <f t="shared" si="24"/>
        <v>4200</v>
      </c>
      <c r="M529" s="13">
        <v>2.1000000000000001E-2</v>
      </c>
      <c r="N529" s="12">
        <f t="shared" si="25"/>
        <v>88.2</v>
      </c>
      <c r="O529" s="12">
        <f t="shared" si="26"/>
        <v>4111.8</v>
      </c>
    </row>
    <row r="530" spans="1:15">
      <c r="A530" s="2" t="s">
        <v>739</v>
      </c>
      <c r="B530" s="3">
        <v>45253</v>
      </c>
      <c r="C530" s="4">
        <v>2023</v>
      </c>
      <c r="D530" s="2" t="s">
        <v>41</v>
      </c>
      <c r="E530" s="2" t="s">
        <v>24</v>
      </c>
      <c r="F530" s="2" t="s">
        <v>25</v>
      </c>
      <c r="G530" s="2" t="s">
        <v>31</v>
      </c>
      <c r="H530" s="2" t="s">
        <v>124</v>
      </c>
      <c r="I530" s="2" t="s">
        <v>188</v>
      </c>
      <c r="J530" s="5">
        <v>5</v>
      </c>
      <c r="K530" s="6">
        <v>950</v>
      </c>
      <c r="L530" s="6">
        <f t="shared" si="24"/>
        <v>4750</v>
      </c>
      <c r="M530" s="7">
        <v>6.0000000000000001E-3</v>
      </c>
      <c r="N530" s="6">
        <f t="shared" si="25"/>
        <v>28.5</v>
      </c>
      <c r="O530" s="6">
        <f t="shared" si="26"/>
        <v>4721.5</v>
      </c>
    </row>
    <row r="531" spans="1:15">
      <c r="A531" s="8" t="s">
        <v>740</v>
      </c>
      <c r="B531" s="9">
        <v>45726</v>
      </c>
      <c r="C531" s="10">
        <v>2025</v>
      </c>
      <c r="D531" s="8" t="s">
        <v>78</v>
      </c>
      <c r="E531" s="8" t="s">
        <v>24</v>
      </c>
      <c r="F531" s="8" t="s">
        <v>25</v>
      </c>
      <c r="G531" s="8" t="s">
        <v>64</v>
      </c>
      <c r="H531" s="8" t="s">
        <v>94</v>
      </c>
      <c r="I531" s="8" t="s">
        <v>95</v>
      </c>
      <c r="J531" s="11">
        <v>1</v>
      </c>
      <c r="K531" s="12">
        <v>1950</v>
      </c>
      <c r="L531" s="12">
        <f t="shared" si="24"/>
        <v>1950</v>
      </c>
      <c r="M531" s="13">
        <v>0.159</v>
      </c>
      <c r="N531" s="12">
        <f t="shared" si="25"/>
        <v>310.05</v>
      </c>
      <c r="O531" s="12">
        <f t="shared" si="26"/>
        <v>1639.95</v>
      </c>
    </row>
    <row r="532" spans="1:15">
      <c r="A532" s="2" t="s">
        <v>741</v>
      </c>
      <c r="B532" s="3">
        <v>45340</v>
      </c>
      <c r="C532" s="4">
        <v>2024</v>
      </c>
      <c r="D532" s="2" t="s">
        <v>23</v>
      </c>
      <c r="E532" s="2" t="s">
        <v>17</v>
      </c>
      <c r="F532" s="2" t="s">
        <v>18</v>
      </c>
      <c r="G532" s="2" t="s">
        <v>64</v>
      </c>
      <c r="H532" s="2" t="s">
        <v>127</v>
      </c>
      <c r="I532" s="2" t="s">
        <v>128</v>
      </c>
      <c r="J532" s="5">
        <v>1</v>
      </c>
      <c r="K532" s="6">
        <v>500</v>
      </c>
      <c r="L532" s="6">
        <f t="shared" si="24"/>
        <v>500</v>
      </c>
      <c r="M532" s="7">
        <v>9.7000000000000003E-2</v>
      </c>
      <c r="N532" s="6">
        <f t="shared" si="25"/>
        <v>48.5</v>
      </c>
      <c r="O532" s="6">
        <f t="shared" si="26"/>
        <v>451.5</v>
      </c>
    </row>
    <row r="533" spans="1:15">
      <c r="A533" s="8" t="s">
        <v>742</v>
      </c>
      <c r="B533" s="9">
        <v>44954</v>
      </c>
      <c r="C533" s="10">
        <v>2023</v>
      </c>
      <c r="D533" s="8" t="s">
        <v>169</v>
      </c>
      <c r="E533" s="8" t="s">
        <v>42</v>
      </c>
      <c r="F533" s="8" t="s">
        <v>43</v>
      </c>
      <c r="G533" s="8" t="s">
        <v>57</v>
      </c>
      <c r="H533" s="8" t="s">
        <v>58</v>
      </c>
      <c r="I533" s="8" t="s">
        <v>87</v>
      </c>
      <c r="J533" s="11">
        <v>1</v>
      </c>
      <c r="K533" s="12">
        <v>4950</v>
      </c>
      <c r="L533" s="12">
        <f t="shared" si="24"/>
        <v>4950</v>
      </c>
      <c r="M533" s="13">
        <v>0.111</v>
      </c>
      <c r="N533" s="12">
        <f t="shared" si="25"/>
        <v>549.45000000000005</v>
      </c>
      <c r="O533" s="12">
        <f t="shared" si="26"/>
        <v>4400.55</v>
      </c>
    </row>
    <row r="534" spans="1:15">
      <c r="A534" s="2" t="s">
        <v>743</v>
      </c>
      <c r="B534" s="3">
        <v>44934</v>
      </c>
      <c r="C534" s="4">
        <v>2023</v>
      </c>
      <c r="D534" s="2" t="s">
        <v>169</v>
      </c>
      <c r="E534" s="2" t="s">
        <v>35</v>
      </c>
      <c r="F534" s="2" t="s">
        <v>36</v>
      </c>
      <c r="G534" s="2" t="s">
        <v>53</v>
      </c>
      <c r="H534" s="2" t="s">
        <v>136</v>
      </c>
      <c r="I534" s="2" t="s">
        <v>322</v>
      </c>
      <c r="J534" s="5">
        <v>2</v>
      </c>
      <c r="K534" s="6">
        <v>1400</v>
      </c>
      <c r="L534" s="6">
        <f t="shared" si="24"/>
        <v>2800</v>
      </c>
      <c r="M534" s="7">
        <v>0</v>
      </c>
      <c r="N534" s="6">
        <f t="shared" si="25"/>
        <v>0</v>
      </c>
      <c r="O534" s="6">
        <f t="shared" si="26"/>
        <v>2800</v>
      </c>
    </row>
    <row r="535" spans="1:15">
      <c r="A535" s="8" t="s">
        <v>744</v>
      </c>
      <c r="B535" s="9">
        <v>45687</v>
      </c>
      <c r="C535" s="10">
        <v>2025</v>
      </c>
      <c r="D535" s="8" t="s">
        <v>169</v>
      </c>
      <c r="E535" s="8" t="s">
        <v>17</v>
      </c>
      <c r="F535" s="8" t="s">
        <v>18</v>
      </c>
      <c r="G535" s="8" t="s">
        <v>44</v>
      </c>
      <c r="H535" s="8" t="s">
        <v>223</v>
      </c>
      <c r="I535" s="8" t="s">
        <v>239</v>
      </c>
      <c r="J535" s="11">
        <v>4</v>
      </c>
      <c r="K535" s="12">
        <v>130</v>
      </c>
      <c r="L535" s="12">
        <f t="shared" si="24"/>
        <v>520</v>
      </c>
      <c r="M535" s="13">
        <v>8.6999999999999994E-2</v>
      </c>
      <c r="N535" s="12">
        <f t="shared" si="25"/>
        <v>45.239999999999995</v>
      </c>
      <c r="O535" s="12">
        <f t="shared" si="26"/>
        <v>474.76</v>
      </c>
    </row>
    <row r="536" spans="1:15">
      <c r="A536" s="2" t="s">
        <v>745</v>
      </c>
      <c r="B536" s="3">
        <v>45324</v>
      </c>
      <c r="C536" s="4">
        <v>2024</v>
      </c>
      <c r="D536" s="2" t="s">
        <v>23</v>
      </c>
      <c r="E536" s="2" t="s">
        <v>17</v>
      </c>
      <c r="F536" s="2" t="s">
        <v>18</v>
      </c>
      <c r="G536" s="2" t="s">
        <v>57</v>
      </c>
      <c r="H536" s="2" t="s">
        <v>131</v>
      </c>
      <c r="I536" s="2" t="s">
        <v>132</v>
      </c>
      <c r="J536" s="5">
        <v>2</v>
      </c>
      <c r="K536" s="6">
        <v>4200</v>
      </c>
      <c r="L536" s="6">
        <f t="shared" si="24"/>
        <v>8400</v>
      </c>
      <c r="M536" s="7">
        <v>0.14899999999999999</v>
      </c>
      <c r="N536" s="6">
        <f t="shared" si="25"/>
        <v>1251.5999999999999</v>
      </c>
      <c r="O536" s="6">
        <f t="shared" si="26"/>
        <v>7148.4</v>
      </c>
    </row>
    <row r="537" spans="1:15">
      <c r="A537" s="8" t="s">
        <v>746</v>
      </c>
      <c r="B537" s="9">
        <v>45847</v>
      </c>
      <c r="C537" s="10">
        <v>2025</v>
      </c>
      <c r="D537" s="8" t="s">
        <v>68</v>
      </c>
      <c r="E537" s="8" t="s">
        <v>17</v>
      </c>
      <c r="F537" s="8" t="s">
        <v>18</v>
      </c>
      <c r="G537" s="8" t="s">
        <v>19</v>
      </c>
      <c r="H537" s="8" t="s">
        <v>69</v>
      </c>
      <c r="I537" s="8" t="s">
        <v>70</v>
      </c>
      <c r="J537" s="11">
        <v>10</v>
      </c>
      <c r="K537" s="12">
        <v>360</v>
      </c>
      <c r="L537" s="12">
        <f t="shared" si="24"/>
        <v>3600</v>
      </c>
      <c r="M537" s="13">
        <v>0</v>
      </c>
      <c r="N537" s="12">
        <f t="shared" si="25"/>
        <v>0</v>
      </c>
      <c r="O537" s="12">
        <f t="shared" si="26"/>
        <v>3600</v>
      </c>
    </row>
    <row r="538" spans="1:15">
      <c r="A538" s="2" t="s">
        <v>747</v>
      </c>
      <c r="B538" s="3">
        <v>45737</v>
      </c>
      <c r="C538" s="4">
        <v>2025</v>
      </c>
      <c r="D538" s="2" t="s">
        <v>78</v>
      </c>
      <c r="E538" s="2" t="s">
        <v>24</v>
      </c>
      <c r="F538" s="2" t="s">
        <v>25</v>
      </c>
      <c r="G538" s="2" t="s">
        <v>64</v>
      </c>
      <c r="H538" s="2" t="s">
        <v>127</v>
      </c>
      <c r="I538" s="2" t="s">
        <v>255</v>
      </c>
      <c r="J538" s="5">
        <v>1</v>
      </c>
      <c r="K538" s="6">
        <v>950</v>
      </c>
      <c r="L538" s="6">
        <f t="shared" si="24"/>
        <v>950</v>
      </c>
      <c r="M538" s="7">
        <v>0</v>
      </c>
      <c r="N538" s="6">
        <f t="shared" si="25"/>
        <v>0</v>
      </c>
      <c r="O538" s="6">
        <f t="shared" si="26"/>
        <v>950</v>
      </c>
    </row>
    <row r="539" spans="1:15">
      <c r="A539" s="8" t="s">
        <v>748</v>
      </c>
      <c r="B539" s="9">
        <v>45457</v>
      </c>
      <c r="C539" s="10">
        <v>2024</v>
      </c>
      <c r="D539" s="8" t="s">
        <v>100</v>
      </c>
      <c r="E539" s="8" t="s">
        <v>24</v>
      </c>
      <c r="F539" s="8" t="s">
        <v>25</v>
      </c>
      <c r="G539" s="8" t="s">
        <v>53</v>
      </c>
      <c r="H539" s="8" t="s">
        <v>285</v>
      </c>
      <c r="I539" s="8" t="s">
        <v>749</v>
      </c>
      <c r="J539" s="11">
        <v>1</v>
      </c>
      <c r="K539" s="12">
        <v>2450</v>
      </c>
      <c r="L539" s="12">
        <f t="shared" si="24"/>
        <v>2450</v>
      </c>
      <c r="M539" s="13">
        <v>0</v>
      </c>
      <c r="N539" s="12">
        <f t="shared" si="25"/>
        <v>0</v>
      </c>
      <c r="O539" s="12">
        <f t="shared" si="26"/>
        <v>2450</v>
      </c>
    </row>
    <row r="540" spans="1:15">
      <c r="A540" s="2" t="s">
        <v>750</v>
      </c>
      <c r="B540" s="3">
        <v>45044</v>
      </c>
      <c r="C540" s="4">
        <v>2023</v>
      </c>
      <c r="D540" s="2" t="s">
        <v>30</v>
      </c>
      <c r="E540" s="2" t="s">
        <v>35</v>
      </c>
      <c r="F540" s="2" t="s">
        <v>36</v>
      </c>
      <c r="G540" s="2" t="s">
        <v>19</v>
      </c>
      <c r="H540" s="2" t="s">
        <v>141</v>
      </c>
      <c r="I540" s="2" t="s">
        <v>142</v>
      </c>
      <c r="J540" s="5">
        <v>1</v>
      </c>
      <c r="K540" s="6">
        <v>350</v>
      </c>
      <c r="L540" s="6">
        <f t="shared" si="24"/>
        <v>350</v>
      </c>
      <c r="M540" s="7">
        <v>0</v>
      </c>
      <c r="N540" s="6">
        <f t="shared" si="25"/>
        <v>0</v>
      </c>
      <c r="O540" s="6">
        <f t="shared" si="26"/>
        <v>350</v>
      </c>
    </row>
    <row r="541" spans="1:15">
      <c r="A541" s="8" t="s">
        <v>751</v>
      </c>
      <c r="B541" s="9">
        <v>45867</v>
      </c>
      <c r="C541" s="10">
        <v>2025</v>
      </c>
      <c r="D541" s="8" t="s">
        <v>68</v>
      </c>
      <c r="E541" s="8" t="s">
        <v>24</v>
      </c>
      <c r="F541" s="8" t="s">
        <v>25</v>
      </c>
      <c r="G541" s="8" t="s">
        <v>26</v>
      </c>
      <c r="H541" s="8" t="s">
        <v>27</v>
      </c>
      <c r="I541" s="8" t="s">
        <v>237</v>
      </c>
      <c r="J541" s="11">
        <v>2</v>
      </c>
      <c r="K541" s="12">
        <v>78500</v>
      </c>
      <c r="L541" s="12">
        <f t="shared" si="24"/>
        <v>157000</v>
      </c>
      <c r="M541" s="13">
        <v>9.8000000000000004E-2</v>
      </c>
      <c r="N541" s="12">
        <f t="shared" si="25"/>
        <v>15386</v>
      </c>
      <c r="O541" s="12">
        <f t="shared" si="26"/>
        <v>141614</v>
      </c>
    </row>
    <row r="542" spans="1:15">
      <c r="A542" s="2" t="s">
        <v>752</v>
      </c>
      <c r="B542" s="3">
        <v>45996</v>
      </c>
      <c r="C542" s="4">
        <v>2025</v>
      </c>
      <c r="D542" s="2" t="s">
        <v>16</v>
      </c>
      <c r="E542" s="2" t="s">
        <v>42</v>
      </c>
      <c r="F542" s="2" t="s">
        <v>43</v>
      </c>
      <c r="G542" s="2" t="s">
        <v>57</v>
      </c>
      <c r="H542" s="2" t="s">
        <v>131</v>
      </c>
      <c r="I542" s="2" t="s">
        <v>166</v>
      </c>
      <c r="J542" s="5">
        <v>1</v>
      </c>
      <c r="K542" s="6">
        <v>4400</v>
      </c>
      <c r="L542" s="6">
        <f t="shared" si="24"/>
        <v>4400</v>
      </c>
      <c r="M542" s="7">
        <v>0</v>
      </c>
      <c r="N542" s="6">
        <f t="shared" si="25"/>
        <v>0</v>
      </c>
      <c r="O542" s="6">
        <f t="shared" si="26"/>
        <v>4400</v>
      </c>
    </row>
    <row r="543" spans="1:15">
      <c r="A543" s="8" t="s">
        <v>753</v>
      </c>
      <c r="B543" s="9">
        <v>45354</v>
      </c>
      <c r="C543" s="10">
        <v>2024</v>
      </c>
      <c r="D543" s="8" t="s">
        <v>78</v>
      </c>
      <c r="E543" s="8" t="s">
        <v>42</v>
      </c>
      <c r="F543" s="8" t="s">
        <v>43</v>
      </c>
      <c r="G543" s="8" t="s">
        <v>26</v>
      </c>
      <c r="H543" s="8" t="s">
        <v>110</v>
      </c>
      <c r="I543" s="8" t="s">
        <v>214</v>
      </c>
      <c r="J543" s="11">
        <v>2</v>
      </c>
      <c r="K543" s="12">
        <v>15500</v>
      </c>
      <c r="L543" s="12">
        <f t="shared" si="24"/>
        <v>31000</v>
      </c>
      <c r="M543" s="13">
        <v>0</v>
      </c>
      <c r="N543" s="12">
        <f t="shared" si="25"/>
        <v>0</v>
      </c>
      <c r="O543" s="12">
        <f t="shared" si="26"/>
        <v>31000</v>
      </c>
    </row>
    <row r="544" spans="1:15">
      <c r="A544" s="2" t="s">
        <v>754</v>
      </c>
      <c r="B544" s="3">
        <v>45543</v>
      </c>
      <c r="C544" s="4">
        <v>2024</v>
      </c>
      <c r="D544" s="2" t="s">
        <v>123</v>
      </c>
      <c r="E544" s="2" t="s">
        <v>17</v>
      </c>
      <c r="F544" s="2" t="s">
        <v>18</v>
      </c>
      <c r="G544" s="2" t="s">
        <v>57</v>
      </c>
      <c r="H544" s="2" t="s">
        <v>75</v>
      </c>
      <c r="I544" s="2" t="s">
        <v>499</v>
      </c>
      <c r="J544" s="5">
        <v>1</v>
      </c>
      <c r="K544" s="6">
        <v>4550</v>
      </c>
      <c r="L544" s="6">
        <f t="shared" si="24"/>
        <v>4550</v>
      </c>
      <c r="M544" s="7">
        <v>0.215</v>
      </c>
      <c r="N544" s="6">
        <f t="shared" si="25"/>
        <v>978.25</v>
      </c>
      <c r="O544" s="6">
        <f t="shared" si="26"/>
        <v>3571.75</v>
      </c>
    </row>
    <row r="545" spans="1:15">
      <c r="A545" s="8" t="s">
        <v>755</v>
      </c>
      <c r="B545" s="9">
        <v>45456</v>
      </c>
      <c r="C545" s="10">
        <v>2024</v>
      </c>
      <c r="D545" s="8" t="s">
        <v>100</v>
      </c>
      <c r="E545" s="8" t="s">
        <v>35</v>
      </c>
      <c r="F545" s="8" t="s">
        <v>36</v>
      </c>
      <c r="G545" s="8" t="s">
        <v>57</v>
      </c>
      <c r="H545" s="8" t="s">
        <v>200</v>
      </c>
      <c r="I545" s="8" t="s">
        <v>425</v>
      </c>
      <c r="J545" s="11">
        <v>1</v>
      </c>
      <c r="K545" s="12">
        <v>2000</v>
      </c>
      <c r="L545" s="12">
        <f t="shared" si="24"/>
        <v>2000</v>
      </c>
      <c r="M545" s="13">
        <v>0</v>
      </c>
      <c r="N545" s="12">
        <f t="shared" si="25"/>
        <v>0</v>
      </c>
      <c r="O545" s="12">
        <f t="shared" si="26"/>
        <v>2000</v>
      </c>
    </row>
    <row r="546" spans="1:15">
      <c r="A546" s="2" t="s">
        <v>756</v>
      </c>
      <c r="B546" s="3">
        <v>45927</v>
      </c>
      <c r="C546" s="4">
        <v>2025</v>
      </c>
      <c r="D546" s="2" t="s">
        <v>123</v>
      </c>
      <c r="E546" s="2" t="s">
        <v>24</v>
      </c>
      <c r="F546" s="2" t="s">
        <v>25</v>
      </c>
      <c r="G546" s="2" t="s">
        <v>57</v>
      </c>
      <c r="H546" s="2" t="s">
        <v>75</v>
      </c>
      <c r="I546" s="2" t="s">
        <v>184</v>
      </c>
      <c r="J546" s="5">
        <v>1</v>
      </c>
      <c r="K546" s="6">
        <v>4850</v>
      </c>
      <c r="L546" s="6">
        <f t="shared" si="24"/>
        <v>4850</v>
      </c>
      <c r="M546" s="7">
        <v>0.218</v>
      </c>
      <c r="N546" s="6">
        <f t="shared" si="25"/>
        <v>1057.3</v>
      </c>
      <c r="O546" s="6">
        <f t="shared" si="26"/>
        <v>3792.7</v>
      </c>
    </row>
    <row r="547" spans="1:15">
      <c r="A547" s="8" t="s">
        <v>757</v>
      </c>
      <c r="B547" s="9">
        <v>45537</v>
      </c>
      <c r="C547" s="10">
        <v>2024</v>
      </c>
      <c r="D547" s="8" t="s">
        <v>123</v>
      </c>
      <c r="E547" s="8" t="s">
        <v>35</v>
      </c>
      <c r="F547" s="8" t="s">
        <v>36</v>
      </c>
      <c r="G547" s="8" t="s">
        <v>19</v>
      </c>
      <c r="H547" s="8" t="s">
        <v>141</v>
      </c>
      <c r="I547" s="8" t="s">
        <v>142</v>
      </c>
      <c r="J547" s="11">
        <v>4</v>
      </c>
      <c r="K547" s="12">
        <v>950</v>
      </c>
      <c r="L547" s="12">
        <f t="shared" si="24"/>
        <v>3800</v>
      </c>
      <c r="M547" s="13">
        <v>2.1000000000000001E-2</v>
      </c>
      <c r="N547" s="12">
        <f t="shared" si="25"/>
        <v>79.800000000000011</v>
      </c>
      <c r="O547" s="12">
        <f t="shared" si="26"/>
        <v>3720.2</v>
      </c>
    </row>
    <row r="548" spans="1:15">
      <c r="A548" s="2" t="s">
        <v>758</v>
      </c>
      <c r="B548" s="3">
        <v>45602</v>
      </c>
      <c r="C548" s="4">
        <v>2024</v>
      </c>
      <c r="D548" s="2" t="s">
        <v>41</v>
      </c>
      <c r="E548" s="2" t="s">
        <v>17</v>
      </c>
      <c r="F548" s="2" t="s">
        <v>18</v>
      </c>
      <c r="G548" s="2" t="s">
        <v>57</v>
      </c>
      <c r="H548" s="2" t="s">
        <v>75</v>
      </c>
      <c r="I548" s="2" t="s">
        <v>144</v>
      </c>
      <c r="J548" s="5">
        <v>1</v>
      </c>
      <c r="K548" s="6">
        <v>6000</v>
      </c>
      <c r="L548" s="6">
        <f t="shared" si="24"/>
        <v>6000</v>
      </c>
      <c r="M548" s="7">
        <v>0.107</v>
      </c>
      <c r="N548" s="6">
        <f t="shared" si="25"/>
        <v>642</v>
      </c>
      <c r="O548" s="6">
        <f t="shared" si="26"/>
        <v>5358</v>
      </c>
    </row>
    <row r="549" spans="1:15">
      <c r="A549" s="8" t="s">
        <v>759</v>
      </c>
      <c r="B549" s="9">
        <v>45590</v>
      </c>
      <c r="C549" s="10">
        <v>2024</v>
      </c>
      <c r="D549" s="8" t="s">
        <v>72</v>
      </c>
      <c r="E549" s="8" t="s">
        <v>35</v>
      </c>
      <c r="F549" s="8" t="s">
        <v>36</v>
      </c>
      <c r="G549" s="8" t="s">
        <v>26</v>
      </c>
      <c r="H549" s="8" t="s">
        <v>113</v>
      </c>
      <c r="I549" s="8" t="s">
        <v>162</v>
      </c>
      <c r="J549" s="11">
        <v>1</v>
      </c>
      <c r="K549" s="12">
        <v>26500</v>
      </c>
      <c r="L549" s="12">
        <f t="shared" si="24"/>
        <v>26500</v>
      </c>
      <c r="M549" s="13">
        <v>0</v>
      </c>
      <c r="N549" s="12">
        <f t="shared" si="25"/>
        <v>0</v>
      </c>
      <c r="O549" s="12">
        <f t="shared" si="26"/>
        <v>26500</v>
      </c>
    </row>
    <row r="550" spans="1:15">
      <c r="A550" s="2" t="s">
        <v>760</v>
      </c>
      <c r="B550" s="3">
        <v>45472</v>
      </c>
      <c r="C550" s="4">
        <v>2024</v>
      </c>
      <c r="D550" s="2" t="s">
        <v>100</v>
      </c>
      <c r="E550" s="2" t="s">
        <v>35</v>
      </c>
      <c r="F550" s="2" t="s">
        <v>36</v>
      </c>
      <c r="G550" s="2" t="s">
        <v>31</v>
      </c>
      <c r="H550" s="2" t="s">
        <v>81</v>
      </c>
      <c r="I550" s="2" t="s">
        <v>148</v>
      </c>
      <c r="J550" s="5">
        <v>3</v>
      </c>
      <c r="K550" s="6">
        <v>850</v>
      </c>
      <c r="L550" s="6">
        <f t="shared" si="24"/>
        <v>2550</v>
      </c>
      <c r="M550" s="7">
        <v>0</v>
      </c>
      <c r="N550" s="6">
        <f t="shared" si="25"/>
        <v>0</v>
      </c>
      <c r="O550" s="6">
        <f t="shared" si="26"/>
        <v>2550</v>
      </c>
    </row>
    <row r="551" spans="1:15">
      <c r="A551" s="8" t="s">
        <v>761</v>
      </c>
      <c r="B551" s="9">
        <v>45938</v>
      </c>
      <c r="C551" s="10">
        <v>2025</v>
      </c>
      <c r="D551" s="8" t="s">
        <v>72</v>
      </c>
      <c r="E551" s="8" t="s">
        <v>24</v>
      </c>
      <c r="F551" s="8" t="s">
        <v>25</v>
      </c>
      <c r="G551" s="8" t="s">
        <v>53</v>
      </c>
      <c r="H551" s="8" t="s">
        <v>193</v>
      </c>
      <c r="I551" s="8" t="s">
        <v>194</v>
      </c>
      <c r="J551" s="11">
        <v>1</v>
      </c>
      <c r="K551" s="12">
        <v>2100</v>
      </c>
      <c r="L551" s="12">
        <f t="shared" si="24"/>
        <v>2100</v>
      </c>
      <c r="M551" s="13">
        <v>0</v>
      </c>
      <c r="N551" s="12">
        <f t="shared" si="25"/>
        <v>0</v>
      </c>
      <c r="O551" s="12">
        <f t="shared" si="26"/>
        <v>2100</v>
      </c>
    </row>
    <row r="552" spans="1:15">
      <c r="A552" s="2" t="s">
        <v>762</v>
      </c>
      <c r="B552" s="3">
        <v>45519</v>
      </c>
      <c r="C552" s="4">
        <v>2024</v>
      </c>
      <c r="D552" s="2" t="s">
        <v>52</v>
      </c>
      <c r="E552" s="2" t="s">
        <v>17</v>
      </c>
      <c r="F552" s="2" t="s">
        <v>18</v>
      </c>
      <c r="G552" s="2" t="s">
        <v>53</v>
      </c>
      <c r="H552" s="2" t="s">
        <v>193</v>
      </c>
      <c r="I552" s="2" t="s">
        <v>334</v>
      </c>
      <c r="J552" s="5">
        <v>2</v>
      </c>
      <c r="K552" s="6">
        <v>1450</v>
      </c>
      <c r="L552" s="6">
        <f t="shared" si="24"/>
        <v>2900</v>
      </c>
      <c r="M552" s="7">
        <v>0</v>
      </c>
      <c r="N552" s="6">
        <f t="shared" si="25"/>
        <v>0</v>
      </c>
      <c r="O552" s="6">
        <f t="shared" si="26"/>
        <v>2900</v>
      </c>
    </row>
    <row r="553" spans="1:15">
      <c r="A553" s="8" t="s">
        <v>763</v>
      </c>
      <c r="B553" s="9">
        <v>45460</v>
      </c>
      <c r="C553" s="10">
        <v>2024</v>
      </c>
      <c r="D553" s="8" t="s">
        <v>100</v>
      </c>
      <c r="E553" s="8" t="s">
        <v>42</v>
      </c>
      <c r="F553" s="8" t="s">
        <v>43</v>
      </c>
      <c r="G553" s="8" t="s">
        <v>53</v>
      </c>
      <c r="H553" s="8" t="s">
        <v>136</v>
      </c>
      <c r="I553" s="8" t="s">
        <v>346</v>
      </c>
      <c r="J553" s="11">
        <v>1</v>
      </c>
      <c r="K553" s="12">
        <v>2250</v>
      </c>
      <c r="L553" s="12">
        <f t="shared" si="24"/>
        <v>2250</v>
      </c>
      <c r="M553" s="13">
        <v>4.3999999999999997E-2</v>
      </c>
      <c r="N553" s="12">
        <f t="shared" si="25"/>
        <v>99</v>
      </c>
      <c r="O553" s="12">
        <f t="shared" si="26"/>
        <v>2151</v>
      </c>
    </row>
    <row r="554" spans="1:15">
      <c r="A554" s="2" t="s">
        <v>764</v>
      </c>
      <c r="B554" s="3">
        <v>45379</v>
      </c>
      <c r="C554" s="4">
        <v>2024</v>
      </c>
      <c r="D554" s="2" t="s">
        <v>78</v>
      </c>
      <c r="E554" s="2" t="s">
        <v>35</v>
      </c>
      <c r="F554" s="2" t="s">
        <v>36</v>
      </c>
      <c r="G554" s="2" t="s">
        <v>19</v>
      </c>
      <c r="H554" s="2" t="s">
        <v>20</v>
      </c>
      <c r="I554" s="2" t="s">
        <v>250</v>
      </c>
      <c r="J554" s="5">
        <v>1</v>
      </c>
      <c r="K554" s="6">
        <v>800</v>
      </c>
      <c r="L554" s="6">
        <f t="shared" si="24"/>
        <v>800</v>
      </c>
      <c r="M554" s="7">
        <v>0</v>
      </c>
      <c r="N554" s="6">
        <f t="shared" si="25"/>
        <v>0</v>
      </c>
      <c r="O554" s="6">
        <f t="shared" si="26"/>
        <v>800</v>
      </c>
    </row>
    <row r="555" spans="1:15">
      <c r="A555" s="8" t="s">
        <v>765</v>
      </c>
      <c r="B555" s="9">
        <v>45141</v>
      </c>
      <c r="C555" s="10">
        <v>2023</v>
      </c>
      <c r="D555" s="8" t="s">
        <v>52</v>
      </c>
      <c r="E555" s="8" t="s">
        <v>35</v>
      </c>
      <c r="F555" s="8" t="s">
        <v>36</v>
      </c>
      <c r="G555" s="8" t="s">
        <v>19</v>
      </c>
      <c r="H555" s="8" t="s">
        <v>116</v>
      </c>
      <c r="I555" s="8" t="s">
        <v>139</v>
      </c>
      <c r="J555" s="11">
        <v>2</v>
      </c>
      <c r="K555" s="12">
        <v>270</v>
      </c>
      <c r="L555" s="12">
        <f t="shared" si="24"/>
        <v>540</v>
      </c>
      <c r="M555" s="13">
        <v>0</v>
      </c>
      <c r="N555" s="12">
        <f t="shared" si="25"/>
        <v>0</v>
      </c>
      <c r="O555" s="12">
        <f t="shared" si="26"/>
        <v>540</v>
      </c>
    </row>
    <row r="556" spans="1:15">
      <c r="A556" s="2" t="s">
        <v>766</v>
      </c>
      <c r="B556" s="3">
        <v>45499</v>
      </c>
      <c r="C556" s="4">
        <v>2024</v>
      </c>
      <c r="D556" s="2" t="s">
        <v>68</v>
      </c>
      <c r="E556" s="2" t="s">
        <v>42</v>
      </c>
      <c r="F556" s="2" t="s">
        <v>43</v>
      </c>
      <c r="G556" s="2" t="s">
        <v>19</v>
      </c>
      <c r="H556" s="2" t="s">
        <v>69</v>
      </c>
      <c r="I556" s="2" t="s">
        <v>248</v>
      </c>
      <c r="J556" s="5">
        <v>8</v>
      </c>
      <c r="K556" s="6">
        <v>1800</v>
      </c>
      <c r="L556" s="6">
        <f t="shared" si="24"/>
        <v>14400</v>
      </c>
      <c r="M556" s="7">
        <v>0</v>
      </c>
      <c r="N556" s="6">
        <f t="shared" si="25"/>
        <v>0</v>
      </c>
      <c r="O556" s="6">
        <f t="shared" si="26"/>
        <v>14400</v>
      </c>
    </row>
    <row r="557" spans="1:15">
      <c r="A557" s="8" t="s">
        <v>767</v>
      </c>
      <c r="B557" s="9">
        <v>45407</v>
      </c>
      <c r="C557" s="10">
        <v>2024</v>
      </c>
      <c r="D557" s="8" t="s">
        <v>30</v>
      </c>
      <c r="E557" s="8" t="s">
        <v>17</v>
      </c>
      <c r="F557" s="8" t="s">
        <v>18</v>
      </c>
      <c r="G557" s="8" t="s">
        <v>37</v>
      </c>
      <c r="H557" s="8" t="s">
        <v>38</v>
      </c>
      <c r="I557" s="8" t="s">
        <v>403</v>
      </c>
      <c r="J557" s="11">
        <v>3</v>
      </c>
      <c r="K557" s="12">
        <v>800</v>
      </c>
      <c r="L557" s="12">
        <f t="shared" si="24"/>
        <v>2400</v>
      </c>
      <c r="M557" s="13">
        <v>3.0000000000000001E-3</v>
      </c>
      <c r="N557" s="12">
        <f t="shared" si="25"/>
        <v>7.2</v>
      </c>
      <c r="O557" s="12">
        <f t="shared" si="26"/>
        <v>2392.8000000000002</v>
      </c>
    </row>
    <row r="558" spans="1:15">
      <c r="A558" s="2" t="s">
        <v>768</v>
      </c>
      <c r="B558" s="3">
        <v>45096</v>
      </c>
      <c r="C558" s="4">
        <v>2023</v>
      </c>
      <c r="D558" s="2" t="s">
        <v>100</v>
      </c>
      <c r="E558" s="2" t="s">
        <v>24</v>
      </c>
      <c r="F558" s="2" t="s">
        <v>25</v>
      </c>
      <c r="G558" s="2" t="s">
        <v>31</v>
      </c>
      <c r="H558" s="2" t="s">
        <v>81</v>
      </c>
      <c r="I558" s="2" t="s">
        <v>181</v>
      </c>
      <c r="J558" s="5">
        <v>3</v>
      </c>
      <c r="K558" s="6">
        <v>250</v>
      </c>
      <c r="L558" s="6">
        <f t="shared" si="24"/>
        <v>750</v>
      </c>
      <c r="M558" s="7">
        <v>2E-3</v>
      </c>
      <c r="N558" s="6">
        <f t="shared" si="25"/>
        <v>1.5</v>
      </c>
      <c r="O558" s="6">
        <f t="shared" si="26"/>
        <v>748.5</v>
      </c>
    </row>
    <row r="559" spans="1:15">
      <c r="A559" s="8" t="s">
        <v>769</v>
      </c>
      <c r="B559" s="9">
        <v>45343</v>
      </c>
      <c r="C559" s="10">
        <v>2024</v>
      </c>
      <c r="D559" s="8" t="s">
        <v>23</v>
      </c>
      <c r="E559" s="8" t="s">
        <v>24</v>
      </c>
      <c r="F559" s="8" t="s">
        <v>25</v>
      </c>
      <c r="G559" s="8" t="s">
        <v>57</v>
      </c>
      <c r="H559" s="8" t="s">
        <v>58</v>
      </c>
      <c r="I559" s="8" t="s">
        <v>174</v>
      </c>
      <c r="J559" s="11">
        <v>1</v>
      </c>
      <c r="K559" s="12">
        <v>4450</v>
      </c>
      <c r="L559" s="12">
        <f t="shared" si="24"/>
        <v>4450</v>
      </c>
      <c r="M559" s="13">
        <v>0</v>
      </c>
      <c r="N559" s="12">
        <f t="shared" si="25"/>
        <v>0</v>
      </c>
      <c r="O559" s="12">
        <f t="shared" si="26"/>
        <v>4450</v>
      </c>
    </row>
    <row r="560" spans="1:15">
      <c r="A560" s="2" t="s">
        <v>770</v>
      </c>
      <c r="B560" s="3">
        <v>45330</v>
      </c>
      <c r="C560" s="4">
        <v>2024</v>
      </c>
      <c r="D560" s="2" t="s">
        <v>23</v>
      </c>
      <c r="E560" s="2" t="s">
        <v>42</v>
      </c>
      <c r="F560" s="2" t="s">
        <v>43</v>
      </c>
      <c r="G560" s="2" t="s">
        <v>31</v>
      </c>
      <c r="H560" s="2" t="s">
        <v>32</v>
      </c>
      <c r="I560" s="2" t="s">
        <v>257</v>
      </c>
      <c r="J560" s="5">
        <v>1</v>
      </c>
      <c r="K560" s="6">
        <v>110</v>
      </c>
      <c r="L560" s="6">
        <f t="shared" si="24"/>
        <v>110</v>
      </c>
      <c r="M560" s="7">
        <v>3.3000000000000002E-2</v>
      </c>
      <c r="N560" s="6">
        <f t="shared" si="25"/>
        <v>3.6300000000000003</v>
      </c>
      <c r="O560" s="6">
        <f t="shared" si="26"/>
        <v>106.37</v>
      </c>
    </row>
    <row r="561" spans="1:15">
      <c r="A561" s="8" t="s">
        <v>771</v>
      </c>
      <c r="B561" s="9">
        <v>46007</v>
      </c>
      <c r="C561" s="10">
        <v>2025</v>
      </c>
      <c r="D561" s="8" t="s">
        <v>16</v>
      </c>
      <c r="E561" s="8" t="s">
        <v>17</v>
      </c>
      <c r="F561" s="8" t="s">
        <v>18</v>
      </c>
      <c r="G561" s="8" t="s">
        <v>53</v>
      </c>
      <c r="H561" s="8" t="s">
        <v>136</v>
      </c>
      <c r="I561" s="8" t="s">
        <v>137</v>
      </c>
      <c r="J561" s="11">
        <v>3</v>
      </c>
      <c r="K561" s="12">
        <v>2400</v>
      </c>
      <c r="L561" s="12">
        <f t="shared" si="24"/>
        <v>7200</v>
      </c>
      <c r="M561" s="13">
        <v>0</v>
      </c>
      <c r="N561" s="12">
        <f t="shared" si="25"/>
        <v>0</v>
      </c>
      <c r="O561" s="12">
        <f t="shared" si="26"/>
        <v>7200</v>
      </c>
    </row>
    <row r="562" spans="1:15">
      <c r="A562" s="2" t="s">
        <v>772</v>
      </c>
      <c r="B562" s="3">
        <v>44993</v>
      </c>
      <c r="C562" s="4">
        <v>2023</v>
      </c>
      <c r="D562" s="2" t="s">
        <v>78</v>
      </c>
      <c r="E562" s="2" t="s">
        <v>42</v>
      </c>
      <c r="F562" s="2" t="s">
        <v>43</v>
      </c>
      <c r="G562" s="2" t="s">
        <v>44</v>
      </c>
      <c r="H562" s="2" t="s">
        <v>176</v>
      </c>
      <c r="I562" s="2" t="s">
        <v>525</v>
      </c>
      <c r="J562" s="5">
        <v>2</v>
      </c>
      <c r="K562" s="6">
        <v>270</v>
      </c>
      <c r="L562" s="6">
        <f t="shared" si="24"/>
        <v>540</v>
      </c>
      <c r="M562" s="7">
        <v>0</v>
      </c>
      <c r="N562" s="6">
        <f t="shared" si="25"/>
        <v>0</v>
      </c>
      <c r="O562" s="6">
        <f t="shared" si="26"/>
        <v>540</v>
      </c>
    </row>
    <row r="563" spans="1:15">
      <c r="A563" s="8" t="s">
        <v>773</v>
      </c>
      <c r="B563" s="9">
        <v>45802</v>
      </c>
      <c r="C563" s="10">
        <v>2025</v>
      </c>
      <c r="D563" s="8" t="s">
        <v>48</v>
      </c>
      <c r="E563" s="8" t="s">
        <v>35</v>
      </c>
      <c r="F563" s="8" t="s">
        <v>36</v>
      </c>
      <c r="G563" s="8" t="s">
        <v>19</v>
      </c>
      <c r="H563" s="8" t="s">
        <v>271</v>
      </c>
      <c r="I563" s="8" t="s">
        <v>515</v>
      </c>
      <c r="J563" s="11">
        <v>5</v>
      </c>
      <c r="K563" s="12">
        <v>1600</v>
      </c>
      <c r="L563" s="12">
        <f t="shared" si="24"/>
        <v>8000</v>
      </c>
      <c r="M563" s="13">
        <v>0</v>
      </c>
      <c r="N563" s="12">
        <f t="shared" si="25"/>
        <v>0</v>
      </c>
      <c r="O563" s="12">
        <f t="shared" si="26"/>
        <v>8000</v>
      </c>
    </row>
    <row r="564" spans="1:15">
      <c r="A564" s="2" t="s">
        <v>774</v>
      </c>
      <c r="B564" s="3">
        <v>45377</v>
      </c>
      <c r="C564" s="4">
        <v>2024</v>
      </c>
      <c r="D564" s="2" t="s">
        <v>78</v>
      </c>
      <c r="E564" s="2" t="s">
        <v>35</v>
      </c>
      <c r="F564" s="2" t="s">
        <v>36</v>
      </c>
      <c r="G564" s="2" t="s">
        <v>19</v>
      </c>
      <c r="H564" s="2" t="s">
        <v>271</v>
      </c>
      <c r="I564" s="2" t="s">
        <v>605</v>
      </c>
      <c r="J564" s="5">
        <v>8</v>
      </c>
      <c r="K564" s="6">
        <v>380</v>
      </c>
      <c r="L564" s="6">
        <f t="shared" si="24"/>
        <v>3040</v>
      </c>
      <c r="M564" s="7">
        <v>0.05</v>
      </c>
      <c r="N564" s="6">
        <f t="shared" si="25"/>
        <v>152</v>
      </c>
      <c r="O564" s="6">
        <f t="shared" si="26"/>
        <v>2888</v>
      </c>
    </row>
    <row r="565" spans="1:15">
      <c r="A565" s="8" t="s">
        <v>775</v>
      </c>
      <c r="B565" s="9">
        <v>45265</v>
      </c>
      <c r="C565" s="10">
        <v>2023</v>
      </c>
      <c r="D565" s="8" t="s">
        <v>16</v>
      </c>
      <c r="E565" s="8" t="s">
        <v>17</v>
      </c>
      <c r="F565" s="8" t="s">
        <v>18</v>
      </c>
      <c r="G565" s="8" t="s">
        <v>31</v>
      </c>
      <c r="H565" s="8" t="s">
        <v>84</v>
      </c>
      <c r="I565" s="8" t="s">
        <v>85</v>
      </c>
      <c r="J565" s="11">
        <v>2</v>
      </c>
      <c r="K565" s="12">
        <v>750</v>
      </c>
      <c r="L565" s="12">
        <f t="shared" si="24"/>
        <v>1500</v>
      </c>
      <c r="M565" s="13">
        <v>0</v>
      </c>
      <c r="N565" s="12">
        <f t="shared" si="25"/>
        <v>0</v>
      </c>
      <c r="O565" s="12">
        <f t="shared" si="26"/>
        <v>1500</v>
      </c>
    </row>
    <row r="566" spans="1:15">
      <c r="A566" s="2" t="s">
        <v>776</v>
      </c>
      <c r="B566" s="3">
        <v>44966</v>
      </c>
      <c r="C566" s="4">
        <v>2023</v>
      </c>
      <c r="D566" s="2" t="s">
        <v>23</v>
      </c>
      <c r="E566" s="2" t="s">
        <v>24</v>
      </c>
      <c r="F566" s="2" t="s">
        <v>25</v>
      </c>
      <c r="G566" s="2" t="s">
        <v>26</v>
      </c>
      <c r="H566" s="2" t="s">
        <v>101</v>
      </c>
      <c r="I566" s="2" t="s">
        <v>235</v>
      </c>
      <c r="J566" s="5">
        <v>2</v>
      </c>
      <c r="K566" s="6">
        <v>36500</v>
      </c>
      <c r="L566" s="6">
        <f t="shared" si="24"/>
        <v>73000</v>
      </c>
      <c r="M566" s="7">
        <v>0</v>
      </c>
      <c r="N566" s="6">
        <f t="shared" si="25"/>
        <v>0</v>
      </c>
      <c r="O566" s="6">
        <f t="shared" si="26"/>
        <v>73000</v>
      </c>
    </row>
    <row r="567" spans="1:15">
      <c r="A567" s="8" t="s">
        <v>777</v>
      </c>
      <c r="B567" s="9">
        <v>45700</v>
      </c>
      <c r="C567" s="10">
        <v>2025</v>
      </c>
      <c r="D567" s="8" t="s">
        <v>23</v>
      </c>
      <c r="E567" s="8" t="s">
        <v>17</v>
      </c>
      <c r="F567" s="8" t="s">
        <v>18</v>
      </c>
      <c r="G567" s="8" t="s">
        <v>37</v>
      </c>
      <c r="H567" s="8" t="s">
        <v>91</v>
      </c>
      <c r="I567" s="8" t="s">
        <v>153</v>
      </c>
      <c r="J567" s="11">
        <v>3</v>
      </c>
      <c r="K567" s="12">
        <v>1350</v>
      </c>
      <c r="L567" s="12">
        <f t="shared" si="24"/>
        <v>4050</v>
      </c>
      <c r="M567" s="13">
        <v>8.9999999999999993E-3</v>
      </c>
      <c r="N567" s="12">
        <f t="shared" si="25"/>
        <v>36.449999999999996</v>
      </c>
      <c r="O567" s="12">
        <f t="shared" si="26"/>
        <v>4013.55</v>
      </c>
    </row>
    <row r="568" spans="1:15">
      <c r="A568" s="2" t="s">
        <v>778</v>
      </c>
      <c r="B568" s="3">
        <v>45136</v>
      </c>
      <c r="C568" s="4">
        <v>2023</v>
      </c>
      <c r="D568" s="2" t="s">
        <v>68</v>
      </c>
      <c r="E568" s="2" t="s">
        <v>35</v>
      </c>
      <c r="F568" s="2" t="s">
        <v>36</v>
      </c>
      <c r="G568" s="2" t="s">
        <v>19</v>
      </c>
      <c r="H568" s="2" t="s">
        <v>271</v>
      </c>
      <c r="I568" s="2" t="s">
        <v>515</v>
      </c>
      <c r="J568" s="5">
        <v>4</v>
      </c>
      <c r="K568" s="6">
        <v>360</v>
      </c>
      <c r="L568" s="6">
        <f t="shared" si="24"/>
        <v>1440</v>
      </c>
      <c r="M568" s="7">
        <v>7.0000000000000001E-3</v>
      </c>
      <c r="N568" s="6">
        <f t="shared" si="25"/>
        <v>10.08</v>
      </c>
      <c r="O568" s="6">
        <f t="shared" si="26"/>
        <v>1429.92</v>
      </c>
    </row>
    <row r="569" spans="1:15">
      <c r="A569" s="8" t="s">
        <v>779</v>
      </c>
      <c r="B569" s="9">
        <v>46005</v>
      </c>
      <c r="C569" s="10">
        <v>2025</v>
      </c>
      <c r="D569" s="8" t="s">
        <v>16</v>
      </c>
      <c r="E569" s="8" t="s">
        <v>17</v>
      </c>
      <c r="F569" s="8" t="s">
        <v>18</v>
      </c>
      <c r="G569" s="8" t="s">
        <v>44</v>
      </c>
      <c r="H569" s="8" t="s">
        <v>45</v>
      </c>
      <c r="I569" s="8" t="s">
        <v>190</v>
      </c>
      <c r="J569" s="11">
        <v>2</v>
      </c>
      <c r="K569" s="12">
        <v>1100</v>
      </c>
      <c r="L569" s="12">
        <f t="shared" si="24"/>
        <v>2200</v>
      </c>
      <c r="M569" s="13">
        <v>0</v>
      </c>
      <c r="N569" s="12">
        <f t="shared" si="25"/>
        <v>0</v>
      </c>
      <c r="O569" s="12">
        <f t="shared" si="26"/>
        <v>2200</v>
      </c>
    </row>
    <row r="570" spans="1:15">
      <c r="A570" s="2" t="s">
        <v>780</v>
      </c>
      <c r="B570" s="3">
        <v>45479</v>
      </c>
      <c r="C570" s="4">
        <v>2024</v>
      </c>
      <c r="D570" s="2" t="s">
        <v>68</v>
      </c>
      <c r="E570" s="2" t="s">
        <v>24</v>
      </c>
      <c r="F570" s="2" t="s">
        <v>25</v>
      </c>
      <c r="G570" s="2" t="s">
        <v>19</v>
      </c>
      <c r="H570" s="2" t="s">
        <v>116</v>
      </c>
      <c r="I570" s="2" t="s">
        <v>210</v>
      </c>
      <c r="J570" s="5">
        <v>3</v>
      </c>
      <c r="K570" s="6">
        <v>550</v>
      </c>
      <c r="L570" s="6">
        <f t="shared" si="24"/>
        <v>1650</v>
      </c>
      <c r="M570" s="7">
        <v>4.8000000000000001E-2</v>
      </c>
      <c r="N570" s="6">
        <f t="shared" si="25"/>
        <v>79.2</v>
      </c>
      <c r="O570" s="6">
        <f t="shared" si="26"/>
        <v>1570.8</v>
      </c>
    </row>
    <row r="571" spans="1:15">
      <c r="A571" s="8" t="s">
        <v>781</v>
      </c>
      <c r="B571" s="9">
        <v>46005</v>
      </c>
      <c r="C571" s="10">
        <v>2025</v>
      </c>
      <c r="D571" s="8" t="s">
        <v>16</v>
      </c>
      <c r="E571" s="8" t="s">
        <v>24</v>
      </c>
      <c r="F571" s="8" t="s">
        <v>25</v>
      </c>
      <c r="G571" s="8" t="s">
        <v>31</v>
      </c>
      <c r="H571" s="8" t="s">
        <v>81</v>
      </c>
      <c r="I571" s="8" t="s">
        <v>186</v>
      </c>
      <c r="J571" s="11">
        <v>2</v>
      </c>
      <c r="K571" s="12">
        <v>700</v>
      </c>
      <c r="L571" s="12">
        <f t="shared" si="24"/>
        <v>1400</v>
      </c>
      <c r="M571" s="13">
        <v>3.5000000000000003E-2</v>
      </c>
      <c r="N571" s="12">
        <f t="shared" si="25"/>
        <v>49.000000000000007</v>
      </c>
      <c r="O571" s="12">
        <f t="shared" si="26"/>
        <v>1351</v>
      </c>
    </row>
    <row r="572" spans="1:15">
      <c r="A572" s="2" t="s">
        <v>782</v>
      </c>
      <c r="B572" s="3">
        <v>45296</v>
      </c>
      <c r="C572" s="4">
        <v>2024</v>
      </c>
      <c r="D572" s="2" t="s">
        <v>169</v>
      </c>
      <c r="E572" s="2" t="s">
        <v>42</v>
      </c>
      <c r="F572" s="2" t="s">
        <v>43</v>
      </c>
      <c r="G572" s="2" t="s">
        <v>44</v>
      </c>
      <c r="H572" s="2" t="s">
        <v>45</v>
      </c>
      <c r="I572" s="2" t="s">
        <v>190</v>
      </c>
      <c r="J572" s="5">
        <v>2</v>
      </c>
      <c r="K572" s="6">
        <v>1600</v>
      </c>
      <c r="L572" s="6">
        <f t="shared" si="24"/>
        <v>3200</v>
      </c>
      <c r="M572" s="7">
        <v>0</v>
      </c>
      <c r="N572" s="6">
        <f t="shared" si="25"/>
        <v>0</v>
      </c>
      <c r="O572" s="6">
        <f t="shared" si="26"/>
        <v>3200</v>
      </c>
    </row>
    <row r="573" spans="1:15">
      <c r="A573" s="8" t="s">
        <v>783</v>
      </c>
      <c r="B573" s="9">
        <v>45962</v>
      </c>
      <c r="C573" s="10">
        <v>2025</v>
      </c>
      <c r="D573" s="8" t="s">
        <v>41</v>
      </c>
      <c r="E573" s="8" t="s">
        <v>42</v>
      </c>
      <c r="F573" s="8" t="s">
        <v>43</v>
      </c>
      <c r="G573" s="8" t="s">
        <v>37</v>
      </c>
      <c r="H573" s="8" t="s">
        <v>104</v>
      </c>
      <c r="I573" s="8" t="s">
        <v>325</v>
      </c>
      <c r="J573" s="11">
        <v>1</v>
      </c>
      <c r="K573" s="12">
        <v>3400</v>
      </c>
      <c r="L573" s="12">
        <f t="shared" si="24"/>
        <v>3400</v>
      </c>
      <c r="M573" s="13">
        <v>0</v>
      </c>
      <c r="N573" s="12">
        <f t="shared" si="25"/>
        <v>0</v>
      </c>
      <c r="O573" s="12">
        <f t="shared" si="26"/>
        <v>3400</v>
      </c>
    </row>
    <row r="574" spans="1:15">
      <c r="A574" s="2" t="s">
        <v>784</v>
      </c>
      <c r="B574" s="3">
        <v>45476</v>
      </c>
      <c r="C574" s="4">
        <v>2024</v>
      </c>
      <c r="D574" s="2" t="s">
        <v>68</v>
      </c>
      <c r="E574" s="2" t="s">
        <v>42</v>
      </c>
      <c r="F574" s="2" t="s">
        <v>43</v>
      </c>
      <c r="G574" s="2" t="s">
        <v>37</v>
      </c>
      <c r="H574" s="2" t="s">
        <v>91</v>
      </c>
      <c r="I574" s="2" t="s">
        <v>153</v>
      </c>
      <c r="J574" s="5">
        <v>2</v>
      </c>
      <c r="K574" s="6">
        <v>2200</v>
      </c>
      <c r="L574" s="6">
        <f t="shared" si="24"/>
        <v>4400</v>
      </c>
      <c r="M574" s="7">
        <v>0</v>
      </c>
      <c r="N574" s="6">
        <f t="shared" si="25"/>
        <v>0</v>
      </c>
      <c r="O574" s="6">
        <f t="shared" si="26"/>
        <v>4400</v>
      </c>
    </row>
    <row r="575" spans="1:15">
      <c r="A575" s="8" t="s">
        <v>785</v>
      </c>
      <c r="B575" s="9">
        <v>45660</v>
      </c>
      <c r="C575" s="10">
        <v>2025</v>
      </c>
      <c r="D575" s="8" t="s">
        <v>169</v>
      </c>
      <c r="E575" s="8" t="s">
        <v>17</v>
      </c>
      <c r="F575" s="8" t="s">
        <v>18</v>
      </c>
      <c r="G575" s="8" t="s">
        <v>57</v>
      </c>
      <c r="H575" s="8" t="s">
        <v>58</v>
      </c>
      <c r="I575" s="8" t="s">
        <v>151</v>
      </c>
      <c r="J575" s="11">
        <v>1</v>
      </c>
      <c r="K575" s="12">
        <v>1900</v>
      </c>
      <c r="L575" s="12">
        <f t="shared" si="24"/>
        <v>1900</v>
      </c>
      <c r="M575" s="13">
        <v>0</v>
      </c>
      <c r="N575" s="12">
        <f t="shared" si="25"/>
        <v>0</v>
      </c>
      <c r="O575" s="12">
        <f t="shared" si="26"/>
        <v>1900</v>
      </c>
    </row>
    <row r="576" spans="1:15">
      <c r="A576" s="2" t="s">
        <v>786</v>
      </c>
      <c r="B576" s="3">
        <v>45976</v>
      </c>
      <c r="C576" s="4">
        <v>2025</v>
      </c>
      <c r="D576" s="2" t="s">
        <v>41</v>
      </c>
      <c r="E576" s="2" t="s">
        <v>42</v>
      </c>
      <c r="F576" s="2" t="s">
        <v>43</v>
      </c>
      <c r="G576" s="2" t="s">
        <v>19</v>
      </c>
      <c r="H576" s="2" t="s">
        <v>69</v>
      </c>
      <c r="I576" s="2" t="s">
        <v>70</v>
      </c>
      <c r="J576" s="5">
        <v>1</v>
      </c>
      <c r="K576" s="6">
        <v>1250</v>
      </c>
      <c r="L576" s="6">
        <f t="shared" si="24"/>
        <v>1250</v>
      </c>
      <c r="M576" s="7">
        <v>7.0000000000000001E-3</v>
      </c>
      <c r="N576" s="6">
        <f t="shared" si="25"/>
        <v>8.75</v>
      </c>
      <c r="O576" s="6">
        <f t="shared" si="26"/>
        <v>1241.25</v>
      </c>
    </row>
    <row r="577" spans="1:15">
      <c r="A577" s="8" t="s">
        <v>787</v>
      </c>
      <c r="B577" s="9">
        <v>45995</v>
      </c>
      <c r="C577" s="10">
        <v>2025</v>
      </c>
      <c r="D577" s="8" t="s">
        <v>16</v>
      </c>
      <c r="E577" s="8" t="s">
        <v>17</v>
      </c>
      <c r="F577" s="8" t="s">
        <v>18</v>
      </c>
      <c r="G577" s="8" t="s">
        <v>57</v>
      </c>
      <c r="H577" s="8" t="s">
        <v>131</v>
      </c>
      <c r="I577" s="8" t="s">
        <v>132</v>
      </c>
      <c r="J577" s="11">
        <v>1</v>
      </c>
      <c r="K577" s="12">
        <v>4350</v>
      </c>
      <c r="L577" s="12">
        <f t="shared" si="24"/>
        <v>4350</v>
      </c>
      <c r="M577" s="13">
        <v>0</v>
      </c>
      <c r="N577" s="12">
        <f t="shared" si="25"/>
        <v>0</v>
      </c>
      <c r="O577" s="12">
        <f t="shared" si="26"/>
        <v>4350</v>
      </c>
    </row>
    <row r="578" spans="1:15">
      <c r="A578" s="2" t="s">
        <v>788</v>
      </c>
      <c r="B578" s="3">
        <v>45394</v>
      </c>
      <c r="C578" s="4">
        <v>2024</v>
      </c>
      <c r="D578" s="2" t="s">
        <v>30</v>
      </c>
      <c r="E578" s="2" t="s">
        <v>42</v>
      </c>
      <c r="F578" s="2" t="s">
        <v>43</v>
      </c>
      <c r="G578" s="2" t="s">
        <v>53</v>
      </c>
      <c r="H578" s="2" t="s">
        <v>285</v>
      </c>
      <c r="I578" s="2" t="s">
        <v>713</v>
      </c>
      <c r="J578" s="5">
        <v>1</v>
      </c>
      <c r="K578" s="6">
        <v>2250</v>
      </c>
      <c r="L578" s="6">
        <f t="shared" ref="L578:L641" si="27">J578*K578</f>
        <v>2250</v>
      </c>
      <c r="M578" s="7">
        <v>0</v>
      </c>
      <c r="N578" s="6">
        <f t="shared" ref="N578:N641" si="28">L578*M578</f>
        <v>0</v>
      </c>
      <c r="O578" s="6">
        <f t="shared" ref="O578:O641" si="29">L578-N578</f>
        <v>2250</v>
      </c>
    </row>
    <row r="579" spans="1:15">
      <c r="A579" s="8" t="s">
        <v>789</v>
      </c>
      <c r="B579" s="9">
        <v>45533</v>
      </c>
      <c r="C579" s="10">
        <v>2024</v>
      </c>
      <c r="D579" s="8" t="s">
        <v>52</v>
      </c>
      <c r="E579" s="8" t="s">
        <v>42</v>
      </c>
      <c r="F579" s="8" t="s">
        <v>43</v>
      </c>
      <c r="G579" s="8" t="s">
        <v>37</v>
      </c>
      <c r="H579" s="8" t="s">
        <v>91</v>
      </c>
      <c r="I579" s="8" t="s">
        <v>430</v>
      </c>
      <c r="J579" s="11">
        <v>2</v>
      </c>
      <c r="K579" s="12">
        <v>2400</v>
      </c>
      <c r="L579" s="12">
        <f t="shared" si="27"/>
        <v>4800</v>
      </c>
      <c r="M579" s="13">
        <v>0</v>
      </c>
      <c r="N579" s="12">
        <f t="shared" si="28"/>
        <v>0</v>
      </c>
      <c r="O579" s="12">
        <f t="shared" si="29"/>
        <v>4800</v>
      </c>
    </row>
    <row r="580" spans="1:15">
      <c r="A580" s="2" t="s">
        <v>790</v>
      </c>
      <c r="B580" s="3">
        <v>45676</v>
      </c>
      <c r="C580" s="4">
        <v>2025</v>
      </c>
      <c r="D580" s="2" t="s">
        <v>169</v>
      </c>
      <c r="E580" s="2" t="s">
        <v>35</v>
      </c>
      <c r="F580" s="2" t="s">
        <v>36</v>
      </c>
      <c r="G580" s="2" t="s">
        <v>37</v>
      </c>
      <c r="H580" s="2" t="s">
        <v>104</v>
      </c>
      <c r="I580" s="2" t="s">
        <v>325</v>
      </c>
      <c r="J580" s="5">
        <v>2</v>
      </c>
      <c r="K580" s="6">
        <v>1000</v>
      </c>
      <c r="L580" s="6">
        <f t="shared" si="27"/>
        <v>2000</v>
      </c>
      <c r="M580" s="7">
        <v>0.107</v>
      </c>
      <c r="N580" s="6">
        <f t="shared" si="28"/>
        <v>214</v>
      </c>
      <c r="O580" s="6">
        <f t="shared" si="29"/>
        <v>1786</v>
      </c>
    </row>
    <row r="581" spans="1:15">
      <c r="A581" s="8" t="s">
        <v>791</v>
      </c>
      <c r="B581" s="9">
        <v>45134</v>
      </c>
      <c r="C581" s="10">
        <v>2023</v>
      </c>
      <c r="D581" s="8" t="s">
        <v>68</v>
      </c>
      <c r="E581" s="8" t="s">
        <v>17</v>
      </c>
      <c r="F581" s="8" t="s">
        <v>18</v>
      </c>
      <c r="G581" s="8" t="s">
        <v>19</v>
      </c>
      <c r="H581" s="8" t="s">
        <v>20</v>
      </c>
      <c r="I581" s="8" t="s">
        <v>21</v>
      </c>
      <c r="J581" s="11">
        <v>5</v>
      </c>
      <c r="K581" s="12">
        <v>1850</v>
      </c>
      <c r="L581" s="12">
        <f t="shared" si="27"/>
        <v>9250</v>
      </c>
      <c r="M581" s="13">
        <v>7.2999999999999995E-2</v>
      </c>
      <c r="N581" s="12">
        <f t="shared" si="28"/>
        <v>675.25</v>
      </c>
      <c r="O581" s="12">
        <f t="shared" si="29"/>
        <v>8574.75</v>
      </c>
    </row>
    <row r="582" spans="1:15">
      <c r="A582" s="2" t="s">
        <v>792</v>
      </c>
      <c r="B582" s="3">
        <v>45130</v>
      </c>
      <c r="C582" s="4">
        <v>2023</v>
      </c>
      <c r="D582" s="2" t="s">
        <v>68</v>
      </c>
      <c r="E582" s="2" t="s">
        <v>35</v>
      </c>
      <c r="F582" s="2" t="s">
        <v>36</v>
      </c>
      <c r="G582" s="2" t="s">
        <v>26</v>
      </c>
      <c r="H582" s="2" t="s">
        <v>101</v>
      </c>
      <c r="I582" s="2" t="s">
        <v>102</v>
      </c>
      <c r="J582" s="5">
        <v>1</v>
      </c>
      <c r="K582" s="6">
        <v>32500</v>
      </c>
      <c r="L582" s="6">
        <f t="shared" si="27"/>
        <v>32500</v>
      </c>
      <c r="M582" s="7">
        <v>0.11799999999999999</v>
      </c>
      <c r="N582" s="6">
        <f t="shared" si="28"/>
        <v>3835</v>
      </c>
      <c r="O582" s="6">
        <f t="shared" si="29"/>
        <v>28665</v>
      </c>
    </row>
    <row r="583" spans="1:15">
      <c r="A583" s="8" t="s">
        <v>793</v>
      </c>
      <c r="B583" s="9">
        <v>45024</v>
      </c>
      <c r="C583" s="10">
        <v>2023</v>
      </c>
      <c r="D583" s="8" t="s">
        <v>30</v>
      </c>
      <c r="E583" s="8" t="s">
        <v>35</v>
      </c>
      <c r="F583" s="8" t="s">
        <v>36</v>
      </c>
      <c r="G583" s="8" t="s">
        <v>53</v>
      </c>
      <c r="H583" s="8" t="s">
        <v>54</v>
      </c>
      <c r="I583" s="8" t="s">
        <v>595</v>
      </c>
      <c r="J583" s="11">
        <v>2</v>
      </c>
      <c r="K583" s="12">
        <v>3750</v>
      </c>
      <c r="L583" s="12">
        <f t="shared" si="27"/>
        <v>7500</v>
      </c>
      <c r="M583" s="13">
        <v>0</v>
      </c>
      <c r="N583" s="12">
        <f t="shared" si="28"/>
        <v>0</v>
      </c>
      <c r="O583" s="12">
        <f t="shared" si="29"/>
        <v>7500</v>
      </c>
    </row>
    <row r="584" spans="1:15">
      <c r="A584" s="2" t="s">
        <v>794</v>
      </c>
      <c r="B584" s="3">
        <v>45199</v>
      </c>
      <c r="C584" s="4">
        <v>2023</v>
      </c>
      <c r="D584" s="2" t="s">
        <v>123</v>
      </c>
      <c r="E584" s="2" t="s">
        <v>42</v>
      </c>
      <c r="F584" s="2" t="s">
        <v>43</v>
      </c>
      <c r="G584" s="2" t="s">
        <v>31</v>
      </c>
      <c r="H584" s="2" t="s">
        <v>81</v>
      </c>
      <c r="I584" s="2" t="s">
        <v>148</v>
      </c>
      <c r="J584" s="5">
        <v>2</v>
      </c>
      <c r="K584" s="6">
        <v>1200</v>
      </c>
      <c r="L584" s="6">
        <f t="shared" si="27"/>
        <v>2400</v>
      </c>
      <c r="M584" s="7">
        <v>0</v>
      </c>
      <c r="N584" s="6">
        <f t="shared" si="28"/>
        <v>0</v>
      </c>
      <c r="O584" s="6">
        <f t="shared" si="29"/>
        <v>2400</v>
      </c>
    </row>
    <row r="585" spans="1:15">
      <c r="A585" s="8" t="s">
        <v>795</v>
      </c>
      <c r="B585" s="9">
        <v>45002</v>
      </c>
      <c r="C585" s="10">
        <v>2023</v>
      </c>
      <c r="D585" s="8" t="s">
        <v>78</v>
      </c>
      <c r="E585" s="8" t="s">
        <v>24</v>
      </c>
      <c r="F585" s="8" t="s">
        <v>25</v>
      </c>
      <c r="G585" s="8" t="s">
        <v>57</v>
      </c>
      <c r="H585" s="8" t="s">
        <v>58</v>
      </c>
      <c r="I585" s="8" t="s">
        <v>87</v>
      </c>
      <c r="J585" s="11">
        <v>2</v>
      </c>
      <c r="K585" s="12">
        <v>1400</v>
      </c>
      <c r="L585" s="12">
        <f t="shared" si="27"/>
        <v>2800</v>
      </c>
      <c r="M585" s="13">
        <v>0</v>
      </c>
      <c r="N585" s="12">
        <f t="shared" si="28"/>
        <v>0</v>
      </c>
      <c r="O585" s="12">
        <f t="shared" si="29"/>
        <v>2800</v>
      </c>
    </row>
    <row r="586" spans="1:15">
      <c r="A586" s="2" t="s">
        <v>796</v>
      </c>
      <c r="B586" s="3">
        <v>45008</v>
      </c>
      <c r="C586" s="4">
        <v>2023</v>
      </c>
      <c r="D586" s="2" t="s">
        <v>78</v>
      </c>
      <c r="E586" s="2" t="s">
        <v>35</v>
      </c>
      <c r="F586" s="2" t="s">
        <v>36</v>
      </c>
      <c r="G586" s="2" t="s">
        <v>44</v>
      </c>
      <c r="H586" s="2" t="s">
        <v>176</v>
      </c>
      <c r="I586" s="2" t="s">
        <v>375</v>
      </c>
      <c r="J586" s="5">
        <v>10</v>
      </c>
      <c r="K586" s="6">
        <v>800</v>
      </c>
      <c r="L586" s="6">
        <f t="shared" si="27"/>
        <v>8000</v>
      </c>
      <c r="M586" s="7">
        <v>0</v>
      </c>
      <c r="N586" s="6">
        <f t="shared" si="28"/>
        <v>0</v>
      </c>
      <c r="O586" s="6">
        <f t="shared" si="29"/>
        <v>8000</v>
      </c>
    </row>
    <row r="587" spans="1:15">
      <c r="A587" s="8" t="s">
        <v>797</v>
      </c>
      <c r="B587" s="9">
        <v>45053</v>
      </c>
      <c r="C587" s="10">
        <v>2023</v>
      </c>
      <c r="D587" s="8" t="s">
        <v>48</v>
      </c>
      <c r="E587" s="8" t="s">
        <v>42</v>
      </c>
      <c r="F587" s="8" t="s">
        <v>43</v>
      </c>
      <c r="G587" s="8" t="s">
        <v>37</v>
      </c>
      <c r="H587" s="8" t="s">
        <v>38</v>
      </c>
      <c r="I587" s="8" t="s">
        <v>436</v>
      </c>
      <c r="J587" s="11">
        <v>2</v>
      </c>
      <c r="K587" s="12">
        <v>1850</v>
      </c>
      <c r="L587" s="12">
        <f t="shared" si="27"/>
        <v>3700</v>
      </c>
      <c r="M587" s="13">
        <v>0</v>
      </c>
      <c r="N587" s="12">
        <f t="shared" si="28"/>
        <v>0</v>
      </c>
      <c r="O587" s="12">
        <f t="shared" si="29"/>
        <v>3700</v>
      </c>
    </row>
    <row r="588" spans="1:15">
      <c r="A588" s="2" t="s">
        <v>798</v>
      </c>
      <c r="B588" s="3">
        <v>45933</v>
      </c>
      <c r="C588" s="4">
        <v>2025</v>
      </c>
      <c r="D588" s="2" t="s">
        <v>72</v>
      </c>
      <c r="E588" s="2" t="s">
        <v>17</v>
      </c>
      <c r="F588" s="2" t="s">
        <v>18</v>
      </c>
      <c r="G588" s="2" t="s">
        <v>31</v>
      </c>
      <c r="H588" s="2" t="s">
        <v>81</v>
      </c>
      <c r="I588" s="2" t="s">
        <v>186</v>
      </c>
      <c r="J588" s="5">
        <v>4</v>
      </c>
      <c r="K588" s="6">
        <v>750</v>
      </c>
      <c r="L588" s="6">
        <f t="shared" si="27"/>
        <v>3000</v>
      </c>
      <c r="M588" s="7">
        <v>0</v>
      </c>
      <c r="N588" s="6">
        <f t="shared" si="28"/>
        <v>0</v>
      </c>
      <c r="O588" s="6">
        <f t="shared" si="29"/>
        <v>3000</v>
      </c>
    </row>
    <row r="589" spans="1:15">
      <c r="A589" s="8" t="s">
        <v>799</v>
      </c>
      <c r="B589" s="9">
        <v>45365</v>
      </c>
      <c r="C589" s="10">
        <v>2024</v>
      </c>
      <c r="D589" s="8" t="s">
        <v>78</v>
      </c>
      <c r="E589" s="8" t="s">
        <v>17</v>
      </c>
      <c r="F589" s="8" t="s">
        <v>18</v>
      </c>
      <c r="G589" s="8" t="s">
        <v>37</v>
      </c>
      <c r="H589" s="8" t="s">
        <v>104</v>
      </c>
      <c r="I589" s="8" t="s">
        <v>325</v>
      </c>
      <c r="J589" s="11">
        <v>2</v>
      </c>
      <c r="K589" s="12">
        <v>650</v>
      </c>
      <c r="L589" s="12">
        <f t="shared" si="27"/>
        <v>1300</v>
      </c>
      <c r="M589" s="13">
        <v>0</v>
      </c>
      <c r="N589" s="12">
        <f t="shared" si="28"/>
        <v>0</v>
      </c>
      <c r="O589" s="12">
        <f t="shared" si="29"/>
        <v>1300</v>
      </c>
    </row>
    <row r="590" spans="1:15">
      <c r="A590" s="2" t="s">
        <v>800</v>
      </c>
      <c r="B590" s="3">
        <v>45237</v>
      </c>
      <c r="C590" s="4">
        <v>2023</v>
      </c>
      <c r="D590" s="2" t="s">
        <v>41</v>
      </c>
      <c r="E590" s="2" t="s">
        <v>35</v>
      </c>
      <c r="F590" s="2" t="s">
        <v>36</v>
      </c>
      <c r="G590" s="2" t="s">
        <v>57</v>
      </c>
      <c r="H590" s="2" t="s">
        <v>75</v>
      </c>
      <c r="I590" s="2" t="s">
        <v>499</v>
      </c>
      <c r="J590" s="5">
        <v>1</v>
      </c>
      <c r="K590" s="6">
        <v>4550</v>
      </c>
      <c r="L590" s="6">
        <f t="shared" si="27"/>
        <v>4550</v>
      </c>
      <c r="M590" s="7">
        <v>0.221</v>
      </c>
      <c r="N590" s="6">
        <f t="shared" si="28"/>
        <v>1005.55</v>
      </c>
      <c r="O590" s="6">
        <f t="shared" si="29"/>
        <v>3544.45</v>
      </c>
    </row>
    <row r="591" spans="1:15">
      <c r="A591" s="8" t="s">
        <v>801</v>
      </c>
      <c r="B591" s="9">
        <v>45409</v>
      </c>
      <c r="C591" s="10">
        <v>2024</v>
      </c>
      <c r="D591" s="8" t="s">
        <v>30</v>
      </c>
      <c r="E591" s="8" t="s">
        <v>24</v>
      </c>
      <c r="F591" s="8" t="s">
        <v>25</v>
      </c>
      <c r="G591" s="8" t="s">
        <v>26</v>
      </c>
      <c r="H591" s="8" t="s">
        <v>113</v>
      </c>
      <c r="I591" s="8" t="s">
        <v>162</v>
      </c>
      <c r="J591" s="11">
        <v>1</v>
      </c>
      <c r="K591" s="12">
        <v>67000</v>
      </c>
      <c r="L591" s="12">
        <f t="shared" si="27"/>
        <v>67000</v>
      </c>
      <c r="M591" s="13">
        <v>0.10299999999999999</v>
      </c>
      <c r="N591" s="12">
        <f t="shared" si="28"/>
        <v>6901</v>
      </c>
      <c r="O591" s="12">
        <f t="shared" si="29"/>
        <v>60099</v>
      </c>
    </row>
    <row r="592" spans="1:15">
      <c r="A592" s="2" t="s">
        <v>802</v>
      </c>
      <c r="B592" s="3">
        <v>45878</v>
      </c>
      <c r="C592" s="4">
        <v>2025</v>
      </c>
      <c r="D592" s="2" t="s">
        <v>52</v>
      </c>
      <c r="E592" s="2" t="s">
        <v>35</v>
      </c>
      <c r="F592" s="2" t="s">
        <v>36</v>
      </c>
      <c r="G592" s="2" t="s">
        <v>19</v>
      </c>
      <c r="H592" s="2" t="s">
        <v>20</v>
      </c>
      <c r="I592" s="2" t="s">
        <v>250</v>
      </c>
      <c r="J592" s="5">
        <v>3</v>
      </c>
      <c r="K592" s="6">
        <v>600</v>
      </c>
      <c r="L592" s="6">
        <f t="shared" si="27"/>
        <v>1800</v>
      </c>
      <c r="M592" s="7">
        <v>4.2000000000000003E-2</v>
      </c>
      <c r="N592" s="6">
        <f t="shared" si="28"/>
        <v>75.600000000000009</v>
      </c>
      <c r="O592" s="6">
        <f t="shared" si="29"/>
        <v>1724.4</v>
      </c>
    </row>
    <row r="593" spans="1:15">
      <c r="A593" s="8" t="s">
        <v>803</v>
      </c>
      <c r="B593" s="9">
        <v>45304</v>
      </c>
      <c r="C593" s="10">
        <v>2024</v>
      </c>
      <c r="D593" s="8" t="s">
        <v>169</v>
      </c>
      <c r="E593" s="8" t="s">
        <v>17</v>
      </c>
      <c r="F593" s="8" t="s">
        <v>18</v>
      </c>
      <c r="G593" s="8" t="s">
        <v>57</v>
      </c>
      <c r="H593" s="8" t="s">
        <v>58</v>
      </c>
      <c r="I593" s="8" t="s">
        <v>174</v>
      </c>
      <c r="J593" s="11">
        <v>1</v>
      </c>
      <c r="K593" s="12">
        <v>6000</v>
      </c>
      <c r="L593" s="12">
        <f t="shared" si="27"/>
        <v>6000</v>
      </c>
      <c r="M593" s="13">
        <v>0</v>
      </c>
      <c r="N593" s="12">
        <f t="shared" si="28"/>
        <v>0</v>
      </c>
      <c r="O593" s="12">
        <f t="shared" si="29"/>
        <v>6000</v>
      </c>
    </row>
    <row r="594" spans="1:15">
      <c r="A594" s="2" t="s">
        <v>804</v>
      </c>
      <c r="B594" s="3">
        <v>44967</v>
      </c>
      <c r="C594" s="4">
        <v>2023</v>
      </c>
      <c r="D594" s="2" t="s">
        <v>23</v>
      </c>
      <c r="E594" s="2" t="s">
        <v>24</v>
      </c>
      <c r="F594" s="2" t="s">
        <v>25</v>
      </c>
      <c r="G594" s="2" t="s">
        <v>26</v>
      </c>
      <c r="H594" s="2" t="s">
        <v>110</v>
      </c>
      <c r="I594" s="2" t="s">
        <v>214</v>
      </c>
      <c r="J594" s="5">
        <v>1</v>
      </c>
      <c r="K594" s="6">
        <v>26000</v>
      </c>
      <c r="L594" s="6">
        <f t="shared" si="27"/>
        <v>26000</v>
      </c>
      <c r="M594" s="7">
        <v>0</v>
      </c>
      <c r="N594" s="6">
        <f t="shared" si="28"/>
        <v>0</v>
      </c>
      <c r="O594" s="6">
        <f t="shared" si="29"/>
        <v>26000</v>
      </c>
    </row>
    <row r="595" spans="1:15">
      <c r="A595" s="8" t="s">
        <v>805</v>
      </c>
      <c r="B595" s="9">
        <v>45926</v>
      </c>
      <c r="C595" s="10">
        <v>2025</v>
      </c>
      <c r="D595" s="8" t="s">
        <v>123</v>
      </c>
      <c r="E595" s="8" t="s">
        <v>42</v>
      </c>
      <c r="F595" s="8" t="s">
        <v>43</v>
      </c>
      <c r="G595" s="8" t="s">
        <v>31</v>
      </c>
      <c r="H595" s="8" t="s">
        <v>84</v>
      </c>
      <c r="I595" s="8" t="s">
        <v>356</v>
      </c>
      <c r="J595" s="11">
        <v>4</v>
      </c>
      <c r="K595" s="12">
        <v>470</v>
      </c>
      <c r="L595" s="12">
        <f t="shared" si="27"/>
        <v>1880</v>
      </c>
      <c r="M595" s="13">
        <v>0</v>
      </c>
      <c r="N595" s="12">
        <f t="shared" si="28"/>
        <v>0</v>
      </c>
      <c r="O595" s="12">
        <f t="shared" si="29"/>
        <v>1880</v>
      </c>
    </row>
    <row r="596" spans="1:15">
      <c r="A596" s="2" t="s">
        <v>806</v>
      </c>
      <c r="B596" s="3">
        <v>45640</v>
      </c>
      <c r="C596" s="4">
        <v>2024</v>
      </c>
      <c r="D596" s="2" t="s">
        <v>16</v>
      </c>
      <c r="E596" s="2" t="s">
        <v>35</v>
      </c>
      <c r="F596" s="2" t="s">
        <v>36</v>
      </c>
      <c r="G596" s="2" t="s">
        <v>53</v>
      </c>
      <c r="H596" s="2" t="s">
        <v>193</v>
      </c>
      <c r="I596" s="2" t="s">
        <v>208</v>
      </c>
      <c r="J596" s="5">
        <v>2</v>
      </c>
      <c r="K596" s="6">
        <v>470</v>
      </c>
      <c r="L596" s="6">
        <f t="shared" si="27"/>
        <v>940</v>
      </c>
      <c r="M596" s="7">
        <v>1.2E-2</v>
      </c>
      <c r="N596" s="6">
        <f t="shared" si="28"/>
        <v>11.28</v>
      </c>
      <c r="O596" s="6">
        <f t="shared" si="29"/>
        <v>928.72</v>
      </c>
    </row>
    <row r="597" spans="1:15">
      <c r="A597" s="8" t="s">
        <v>807</v>
      </c>
      <c r="B597" s="9">
        <v>45631</v>
      </c>
      <c r="C597" s="10">
        <v>2024</v>
      </c>
      <c r="D597" s="8" t="s">
        <v>16</v>
      </c>
      <c r="E597" s="8" t="s">
        <v>17</v>
      </c>
      <c r="F597" s="8" t="s">
        <v>18</v>
      </c>
      <c r="G597" s="8" t="s">
        <v>57</v>
      </c>
      <c r="H597" s="8" t="s">
        <v>200</v>
      </c>
      <c r="I597" s="8" t="s">
        <v>201</v>
      </c>
      <c r="J597" s="11">
        <v>1</v>
      </c>
      <c r="K597" s="12">
        <v>3650</v>
      </c>
      <c r="L597" s="12">
        <f t="shared" si="27"/>
        <v>3650</v>
      </c>
      <c r="M597" s="13">
        <v>9.9000000000000005E-2</v>
      </c>
      <c r="N597" s="12">
        <f t="shared" si="28"/>
        <v>361.35</v>
      </c>
      <c r="O597" s="12">
        <f t="shared" si="29"/>
        <v>3288.65</v>
      </c>
    </row>
    <row r="598" spans="1:15">
      <c r="A598" s="2" t="s">
        <v>808</v>
      </c>
      <c r="B598" s="3">
        <v>45732</v>
      </c>
      <c r="C598" s="4">
        <v>2025</v>
      </c>
      <c r="D598" s="2" t="s">
        <v>78</v>
      </c>
      <c r="E598" s="2" t="s">
        <v>42</v>
      </c>
      <c r="F598" s="2" t="s">
        <v>43</v>
      </c>
      <c r="G598" s="2" t="s">
        <v>44</v>
      </c>
      <c r="H598" s="2" t="s">
        <v>45</v>
      </c>
      <c r="I598" s="2" t="s">
        <v>46</v>
      </c>
      <c r="J598" s="5">
        <v>1</v>
      </c>
      <c r="K598" s="6">
        <v>130</v>
      </c>
      <c r="L598" s="6">
        <f t="shared" si="27"/>
        <v>130</v>
      </c>
      <c r="M598" s="7">
        <v>0</v>
      </c>
      <c r="N598" s="6">
        <f t="shared" si="28"/>
        <v>0</v>
      </c>
      <c r="O598" s="6">
        <f t="shared" si="29"/>
        <v>130</v>
      </c>
    </row>
    <row r="599" spans="1:15">
      <c r="A599" s="8" t="s">
        <v>809</v>
      </c>
      <c r="B599" s="9">
        <v>45093</v>
      </c>
      <c r="C599" s="10">
        <v>2023</v>
      </c>
      <c r="D599" s="8" t="s">
        <v>100</v>
      </c>
      <c r="E599" s="8" t="s">
        <v>24</v>
      </c>
      <c r="F599" s="8" t="s">
        <v>25</v>
      </c>
      <c r="G599" s="8" t="s">
        <v>37</v>
      </c>
      <c r="H599" s="8" t="s">
        <v>104</v>
      </c>
      <c r="I599" s="8" t="s">
        <v>325</v>
      </c>
      <c r="J599" s="11">
        <v>3</v>
      </c>
      <c r="K599" s="12">
        <v>3750</v>
      </c>
      <c r="L599" s="12">
        <f t="shared" si="27"/>
        <v>11250</v>
      </c>
      <c r="M599" s="13">
        <v>0</v>
      </c>
      <c r="N599" s="12">
        <f t="shared" si="28"/>
        <v>0</v>
      </c>
      <c r="O599" s="12">
        <f t="shared" si="29"/>
        <v>11250</v>
      </c>
    </row>
    <row r="600" spans="1:15">
      <c r="A600" s="2" t="s">
        <v>810</v>
      </c>
      <c r="B600" s="3">
        <v>45005</v>
      </c>
      <c r="C600" s="4">
        <v>2023</v>
      </c>
      <c r="D600" s="2" t="s">
        <v>78</v>
      </c>
      <c r="E600" s="2" t="s">
        <v>35</v>
      </c>
      <c r="F600" s="2" t="s">
        <v>36</v>
      </c>
      <c r="G600" s="2" t="s">
        <v>44</v>
      </c>
      <c r="H600" s="2" t="s">
        <v>61</v>
      </c>
      <c r="I600" s="2" t="s">
        <v>348</v>
      </c>
      <c r="J600" s="5">
        <v>3</v>
      </c>
      <c r="K600" s="6">
        <v>1350</v>
      </c>
      <c r="L600" s="6">
        <f t="shared" si="27"/>
        <v>4050</v>
      </c>
      <c r="M600" s="7">
        <v>0</v>
      </c>
      <c r="N600" s="6">
        <f t="shared" si="28"/>
        <v>0</v>
      </c>
      <c r="O600" s="6">
        <f t="shared" si="29"/>
        <v>4050</v>
      </c>
    </row>
    <row r="601" spans="1:15">
      <c r="A601" s="8" t="s">
        <v>811</v>
      </c>
      <c r="B601" s="9">
        <v>45425</v>
      </c>
      <c r="C601" s="10">
        <v>2024</v>
      </c>
      <c r="D601" s="8" t="s">
        <v>48</v>
      </c>
      <c r="E601" s="8" t="s">
        <v>17</v>
      </c>
      <c r="F601" s="8" t="s">
        <v>18</v>
      </c>
      <c r="G601" s="8" t="s">
        <v>57</v>
      </c>
      <c r="H601" s="8" t="s">
        <v>200</v>
      </c>
      <c r="I601" s="8" t="s">
        <v>305</v>
      </c>
      <c r="J601" s="11">
        <v>2</v>
      </c>
      <c r="K601" s="12">
        <v>5000</v>
      </c>
      <c r="L601" s="12">
        <f t="shared" si="27"/>
        <v>10000</v>
      </c>
      <c r="M601" s="13">
        <v>7.4999999999999997E-2</v>
      </c>
      <c r="N601" s="12">
        <f t="shared" si="28"/>
        <v>750</v>
      </c>
      <c r="O601" s="12">
        <f t="shared" si="29"/>
        <v>9250</v>
      </c>
    </row>
    <row r="602" spans="1:15">
      <c r="A602" s="2" t="s">
        <v>812</v>
      </c>
      <c r="B602" s="3">
        <v>45098</v>
      </c>
      <c r="C602" s="4">
        <v>2023</v>
      </c>
      <c r="D602" s="2" t="s">
        <v>100</v>
      </c>
      <c r="E602" s="2" t="s">
        <v>42</v>
      </c>
      <c r="F602" s="2" t="s">
        <v>43</v>
      </c>
      <c r="G602" s="2" t="s">
        <v>44</v>
      </c>
      <c r="H602" s="2" t="s">
        <v>61</v>
      </c>
      <c r="I602" s="2" t="s">
        <v>62</v>
      </c>
      <c r="J602" s="5">
        <v>2</v>
      </c>
      <c r="K602" s="6">
        <v>950</v>
      </c>
      <c r="L602" s="6">
        <f t="shared" si="27"/>
        <v>1900</v>
      </c>
      <c r="M602" s="7">
        <v>0</v>
      </c>
      <c r="N602" s="6">
        <f t="shared" si="28"/>
        <v>0</v>
      </c>
      <c r="O602" s="6">
        <f t="shared" si="29"/>
        <v>1900</v>
      </c>
    </row>
    <row r="603" spans="1:15">
      <c r="A603" s="8" t="s">
        <v>813</v>
      </c>
      <c r="B603" s="9">
        <v>45248</v>
      </c>
      <c r="C603" s="10">
        <v>2023</v>
      </c>
      <c r="D603" s="8" t="s">
        <v>41</v>
      </c>
      <c r="E603" s="8" t="s">
        <v>17</v>
      </c>
      <c r="F603" s="8" t="s">
        <v>18</v>
      </c>
      <c r="G603" s="8" t="s">
        <v>57</v>
      </c>
      <c r="H603" s="8" t="s">
        <v>58</v>
      </c>
      <c r="I603" s="8" t="s">
        <v>151</v>
      </c>
      <c r="J603" s="11">
        <v>3</v>
      </c>
      <c r="K603" s="12">
        <v>2500</v>
      </c>
      <c r="L603" s="12">
        <f t="shared" si="27"/>
        <v>7500</v>
      </c>
      <c r="M603" s="13">
        <v>0</v>
      </c>
      <c r="N603" s="12">
        <f t="shared" si="28"/>
        <v>0</v>
      </c>
      <c r="O603" s="12">
        <f t="shared" si="29"/>
        <v>7500</v>
      </c>
    </row>
    <row r="604" spans="1:15">
      <c r="A604" s="2" t="s">
        <v>814</v>
      </c>
      <c r="B604" s="3">
        <v>45939</v>
      </c>
      <c r="C604" s="4">
        <v>2025</v>
      </c>
      <c r="D604" s="2" t="s">
        <v>72</v>
      </c>
      <c r="E604" s="2" t="s">
        <v>17</v>
      </c>
      <c r="F604" s="2" t="s">
        <v>18</v>
      </c>
      <c r="G604" s="2" t="s">
        <v>53</v>
      </c>
      <c r="H604" s="2" t="s">
        <v>285</v>
      </c>
      <c r="I604" s="2" t="s">
        <v>749</v>
      </c>
      <c r="J604" s="5">
        <v>3</v>
      </c>
      <c r="K604" s="6">
        <v>3900</v>
      </c>
      <c r="L604" s="6">
        <f t="shared" si="27"/>
        <v>11700</v>
      </c>
      <c r="M604" s="7">
        <v>0</v>
      </c>
      <c r="N604" s="6">
        <f t="shared" si="28"/>
        <v>0</v>
      </c>
      <c r="O604" s="6">
        <f t="shared" si="29"/>
        <v>11700</v>
      </c>
    </row>
    <row r="605" spans="1:15">
      <c r="A605" s="8" t="s">
        <v>815</v>
      </c>
      <c r="B605" s="9">
        <v>45343</v>
      </c>
      <c r="C605" s="10">
        <v>2024</v>
      </c>
      <c r="D605" s="8" t="s">
        <v>23</v>
      </c>
      <c r="E605" s="8" t="s">
        <v>17</v>
      </c>
      <c r="F605" s="8" t="s">
        <v>18</v>
      </c>
      <c r="G605" s="8" t="s">
        <v>37</v>
      </c>
      <c r="H605" s="8" t="s">
        <v>104</v>
      </c>
      <c r="I605" s="8" t="s">
        <v>623</v>
      </c>
      <c r="J605" s="11">
        <v>2</v>
      </c>
      <c r="K605" s="12">
        <v>2450</v>
      </c>
      <c r="L605" s="12">
        <f t="shared" si="27"/>
        <v>4900</v>
      </c>
      <c r="M605" s="13">
        <v>0.11700000000000001</v>
      </c>
      <c r="N605" s="12">
        <f t="shared" si="28"/>
        <v>573.30000000000007</v>
      </c>
      <c r="O605" s="12">
        <f t="shared" si="29"/>
        <v>4326.7</v>
      </c>
    </row>
    <row r="606" spans="1:15">
      <c r="A606" s="2" t="s">
        <v>816</v>
      </c>
      <c r="B606" s="3">
        <v>45967</v>
      </c>
      <c r="C606" s="4">
        <v>2025</v>
      </c>
      <c r="D606" s="2" t="s">
        <v>41</v>
      </c>
      <c r="E606" s="2" t="s">
        <v>35</v>
      </c>
      <c r="F606" s="2" t="s">
        <v>36</v>
      </c>
      <c r="G606" s="2" t="s">
        <v>64</v>
      </c>
      <c r="H606" s="2" t="s">
        <v>97</v>
      </c>
      <c r="I606" s="2" t="s">
        <v>98</v>
      </c>
      <c r="J606" s="5">
        <v>2</v>
      </c>
      <c r="K606" s="6">
        <v>1400</v>
      </c>
      <c r="L606" s="6">
        <f t="shared" si="27"/>
        <v>2800</v>
      </c>
      <c r="M606" s="7">
        <v>6.8000000000000005E-2</v>
      </c>
      <c r="N606" s="6">
        <f t="shared" si="28"/>
        <v>190.4</v>
      </c>
      <c r="O606" s="6">
        <f t="shared" si="29"/>
        <v>2609.6</v>
      </c>
    </row>
    <row r="607" spans="1:15">
      <c r="A607" s="8" t="s">
        <v>817</v>
      </c>
      <c r="B607" s="9">
        <v>45159</v>
      </c>
      <c r="C607" s="10">
        <v>2023</v>
      </c>
      <c r="D607" s="8" t="s">
        <v>52</v>
      </c>
      <c r="E607" s="8" t="s">
        <v>17</v>
      </c>
      <c r="F607" s="8" t="s">
        <v>18</v>
      </c>
      <c r="G607" s="8" t="s">
        <v>26</v>
      </c>
      <c r="H607" s="8" t="s">
        <v>113</v>
      </c>
      <c r="I607" s="8" t="s">
        <v>332</v>
      </c>
      <c r="J607" s="11">
        <v>2</v>
      </c>
      <c r="K607" s="12">
        <v>56000</v>
      </c>
      <c r="L607" s="12">
        <f t="shared" si="27"/>
        <v>112000</v>
      </c>
      <c r="M607" s="13">
        <v>7.0000000000000007E-2</v>
      </c>
      <c r="N607" s="12">
        <f t="shared" si="28"/>
        <v>7840.0000000000009</v>
      </c>
      <c r="O607" s="12">
        <f t="shared" si="29"/>
        <v>104160</v>
      </c>
    </row>
    <row r="608" spans="1:15">
      <c r="A608" s="2" t="s">
        <v>818</v>
      </c>
      <c r="B608" s="3">
        <v>45276</v>
      </c>
      <c r="C608" s="4">
        <v>2023</v>
      </c>
      <c r="D608" s="2" t="s">
        <v>16</v>
      </c>
      <c r="E608" s="2" t="s">
        <v>17</v>
      </c>
      <c r="F608" s="2" t="s">
        <v>18</v>
      </c>
      <c r="G608" s="2" t="s">
        <v>31</v>
      </c>
      <c r="H608" s="2" t="s">
        <v>32</v>
      </c>
      <c r="I608" s="2" t="s">
        <v>257</v>
      </c>
      <c r="J608" s="5">
        <v>3</v>
      </c>
      <c r="K608" s="6">
        <v>1150</v>
      </c>
      <c r="L608" s="6">
        <f t="shared" si="27"/>
        <v>3450</v>
      </c>
      <c r="M608" s="7">
        <v>0</v>
      </c>
      <c r="N608" s="6">
        <f t="shared" si="28"/>
        <v>0</v>
      </c>
      <c r="O608" s="6">
        <f t="shared" si="29"/>
        <v>3450</v>
      </c>
    </row>
    <row r="609" spans="1:15">
      <c r="A609" s="8" t="s">
        <v>819</v>
      </c>
      <c r="B609" s="9">
        <v>45599</v>
      </c>
      <c r="C609" s="10">
        <v>2024</v>
      </c>
      <c r="D609" s="8" t="s">
        <v>41</v>
      </c>
      <c r="E609" s="8" t="s">
        <v>17</v>
      </c>
      <c r="F609" s="8" t="s">
        <v>18</v>
      </c>
      <c r="G609" s="8" t="s">
        <v>53</v>
      </c>
      <c r="H609" s="8" t="s">
        <v>285</v>
      </c>
      <c r="I609" s="8" t="s">
        <v>820</v>
      </c>
      <c r="J609" s="11">
        <v>1</v>
      </c>
      <c r="K609" s="12">
        <v>1950</v>
      </c>
      <c r="L609" s="12">
        <f t="shared" si="27"/>
        <v>1950</v>
      </c>
      <c r="M609" s="13">
        <v>0</v>
      </c>
      <c r="N609" s="12">
        <f t="shared" si="28"/>
        <v>0</v>
      </c>
      <c r="O609" s="12">
        <f t="shared" si="29"/>
        <v>1950</v>
      </c>
    </row>
    <row r="610" spans="1:15">
      <c r="A610" s="2" t="s">
        <v>821</v>
      </c>
      <c r="B610" s="3">
        <v>45770</v>
      </c>
      <c r="C610" s="4">
        <v>2025</v>
      </c>
      <c r="D610" s="2" t="s">
        <v>30</v>
      </c>
      <c r="E610" s="2" t="s">
        <v>35</v>
      </c>
      <c r="F610" s="2" t="s">
        <v>36</v>
      </c>
      <c r="G610" s="2" t="s">
        <v>44</v>
      </c>
      <c r="H610" s="2" t="s">
        <v>223</v>
      </c>
      <c r="I610" s="2" t="s">
        <v>239</v>
      </c>
      <c r="J610" s="5">
        <v>10</v>
      </c>
      <c r="K610" s="6">
        <v>1400</v>
      </c>
      <c r="L610" s="6">
        <f t="shared" si="27"/>
        <v>14000</v>
      </c>
      <c r="M610" s="7">
        <v>0</v>
      </c>
      <c r="N610" s="6">
        <f t="shared" si="28"/>
        <v>0</v>
      </c>
      <c r="O610" s="6">
        <f t="shared" si="29"/>
        <v>14000</v>
      </c>
    </row>
    <row r="611" spans="1:15">
      <c r="A611" s="8" t="s">
        <v>822</v>
      </c>
      <c r="B611" s="9">
        <v>45689</v>
      </c>
      <c r="C611" s="10">
        <v>2025</v>
      </c>
      <c r="D611" s="8" t="s">
        <v>23</v>
      </c>
      <c r="E611" s="8" t="s">
        <v>17</v>
      </c>
      <c r="F611" s="8" t="s">
        <v>18</v>
      </c>
      <c r="G611" s="8" t="s">
        <v>26</v>
      </c>
      <c r="H611" s="8" t="s">
        <v>110</v>
      </c>
      <c r="I611" s="8" t="s">
        <v>111</v>
      </c>
      <c r="J611" s="11">
        <v>1</v>
      </c>
      <c r="K611" s="12">
        <v>17000</v>
      </c>
      <c r="L611" s="12">
        <f t="shared" si="27"/>
        <v>17000</v>
      </c>
      <c r="M611" s="13">
        <v>0</v>
      </c>
      <c r="N611" s="12">
        <f t="shared" si="28"/>
        <v>0</v>
      </c>
      <c r="O611" s="12">
        <f t="shared" si="29"/>
        <v>17000</v>
      </c>
    </row>
    <row r="612" spans="1:15">
      <c r="A612" s="2" t="s">
        <v>823</v>
      </c>
      <c r="B612" s="3">
        <v>45767</v>
      </c>
      <c r="C612" s="4">
        <v>2025</v>
      </c>
      <c r="D612" s="2" t="s">
        <v>30</v>
      </c>
      <c r="E612" s="2" t="s">
        <v>17</v>
      </c>
      <c r="F612" s="2" t="s">
        <v>18</v>
      </c>
      <c r="G612" s="2" t="s">
        <v>64</v>
      </c>
      <c r="H612" s="2" t="s">
        <v>127</v>
      </c>
      <c r="I612" s="2" t="s">
        <v>479</v>
      </c>
      <c r="J612" s="5">
        <v>2</v>
      </c>
      <c r="K612" s="6">
        <v>3500</v>
      </c>
      <c r="L612" s="6">
        <f t="shared" si="27"/>
        <v>7000</v>
      </c>
      <c r="M612" s="7">
        <v>0</v>
      </c>
      <c r="N612" s="6">
        <f t="shared" si="28"/>
        <v>0</v>
      </c>
      <c r="O612" s="6">
        <f t="shared" si="29"/>
        <v>7000</v>
      </c>
    </row>
    <row r="613" spans="1:15">
      <c r="A613" s="8" t="s">
        <v>824</v>
      </c>
      <c r="B613" s="9">
        <v>44935</v>
      </c>
      <c r="C613" s="10">
        <v>2023</v>
      </c>
      <c r="D613" s="8" t="s">
        <v>169</v>
      </c>
      <c r="E613" s="8" t="s">
        <v>24</v>
      </c>
      <c r="F613" s="8" t="s">
        <v>25</v>
      </c>
      <c r="G613" s="8" t="s">
        <v>26</v>
      </c>
      <c r="H613" s="8" t="s">
        <v>110</v>
      </c>
      <c r="I613" s="8" t="s">
        <v>313</v>
      </c>
      <c r="J613" s="11">
        <v>1</v>
      </c>
      <c r="K613" s="12">
        <v>5500</v>
      </c>
      <c r="L613" s="12">
        <f t="shared" si="27"/>
        <v>5500</v>
      </c>
      <c r="M613" s="13">
        <v>0.14399999999999999</v>
      </c>
      <c r="N613" s="12">
        <f t="shared" si="28"/>
        <v>791.99999999999989</v>
      </c>
      <c r="O613" s="12">
        <f t="shared" si="29"/>
        <v>4708</v>
      </c>
    </row>
    <row r="614" spans="1:15">
      <c r="A614" s="2" t="s">
        <v>825</v>
      </c>
      <c r="B614" s="3">
        <v>45901</v>
      </c>
      <c r="C614" s="4">
        <v>2025</v>
      </c>
      <c r="D614" s="2" t="s">
        <v>123</v>
      </c>
      <c r="E614" s="2" t="s">
        <v>42</v>
      </c>
      <c r="F614" s="2" t="s">
        <v>43</v>
      </c>
      <c r="G614" s="2" t="s">
        <v>57</v>
      </c>
      <c r="H614" s="2" t="s">
        <v>58</v>
      </c>
      <c r="I614" s="2" t="s">
        <v>151</v>
      </c>
      <c r="J614" s="5">
        <v>1</v>
      </c>
      <c r="K614" s="6">
        <v>5000</v>
      </c>
      <c r="L614" s="6">
        <f t="shared" si="27"/>
        <v>5000</v>
      </c>
      <c r="M614" s="7">
        <v>0</v>
      </c>
      <c r="N614" s="6">
        <f t="shared" si="28"/>
        <v>0</v>
      </c>
      <c r="O614" s="6">
        <f t="shared" si="29"/>
        <v>5000</v>
      </c>
    </row>
    <row r="615" spans="1:15">
      <c r="A615" s="8" t="s">
        <v>826</v>
      </c>
      <c r="B615" s="9">
        <v>45750</v>
      </c>
      <c r="C615" s="10">
        <v>2025</v>
      </c>
      <c r="D615" s="8" t="s">
        <v>30</v>
      </c>
      <c r="E615" s="8" t="s">
        <v>42</v>
      </c>
      <c r="F615" s="8" t="s">
        <v>43</v>
      </c>
      <c r="G615" s="8" t="s">
        <v>57</v>
      </c>
      <c r="H615" s="8" t="s">
        <v>75</v>
      </c>
      <c r="I615" s="8" t="s">
        <v>76</v>
      </c>
      <c r="J615" s="11">
        <v>1</v>
      </c>
      <c r="K615" s="12">
        <v>2450</v>
      </c>
      <c r="L615" s="12">
        <f t="shared" si="27"/>
        <v>2450</v>
      </c>
      <c r="M615" s="13">
        <v>0.19900000000000001</v>
      </c>
      <c r="N615" s="12">
        <f t="shared" si="28"/>
        <v>487.55</v>
      </c>
      <c r="O615" s="12">
        <f t="shared" si="29"/>
        <v>1962.45</v>
      </c>
    </row>
    <row r="616" spans="1:15">
      <c r="A616" s="2" t="s">
        <v>827</v>
      </c>
      <c r="B616" s="3">
        <v>45374</v>
      </c>
      <c r="C616" s="4">
        <v>2024</v>
      </c>
      <c r="D616" s="2" t="s">
        <v>78</v>
      </c>
      <c r="E616" s="2" t="s">
        <v>24</v>
      </c>
      <c r="F616" s="2" t="s">
        <v>25</v>
      </c>
      <c r="G616" s="2" t="s">
        <v>64</v>
      </c>
      <c r="H616" s="2" t="s">
        <v>127</v>
      </c>
      <c r="I616" s="2" t="s">
        <v>128</v>
      </c>
      <c r="J616" s="5">
        <v>1</v>
      </c>
      <c r="K616" s="6">
        <v>2400</v>
      </c>
      <c r="L616" s="6">
        <f t="shared" si="27"/>
        <v>2400</v>
      </c>
      <c r="M616" s="7">
        <v>0</v>
      </c>
      <c r="N616" s="6">
        <f t="shared" si="28"/>
        <v>0</v>
      </c>
      <c r="O616" s="6">
        <f t="shared" si="29"/>
        <v>2400</v>
      </c>
    </row>
    <row r="617" spans="1:15">
      <c r="A617" s="8" t="s">
        <v>828</v>
      </c>
      <c r="B617" s="9">
        <v>45282</v>
      </c>
      <c r="C617" s="10">
        <v>2023</v>
      </c>
      <c r="D617" s="8" t="s">
        <v>16</v>
      </c>
      <c r="E617" s="8" t="s">
        <v>42</v>
      </c>
      <c r="F617" s="8" t="s">
        <v>43</v>
      </c>
      <c r="G617" s="8" t="s">
        <v>57</v>
      </c>
      <c r="H617" s="8" t="s">
        <v>200</v>
      </c>
      <c r="I617" s="8" t="s">
        <v>201</v>
      </c>
      <c r="J617" s="11">
        <v>3</v>
      </c>
      <c r="K617" s="12">
        <v>2000</v>
      </c>
      <c r="L617" s="12">
        <f t="shared" si="27"/>
        <v>6000</v>
      </c>
      <c r="M617" s="13">
        <v>9.6000000000000002E-2</v>
      </c>
      <c r="N617" s="12">
        <f t="shared" si="28"/>
        <v>576</v>
      </c>
      <c r="O617" s="12">
        <f t="shared" si="29"/>
        <v>5424</v>
      </c>
    </row>
    <row r="618" spans="1:15">
      <c r="A618" s="2" t="s">
        <v>829</v>
      </c>
      <c r="B618" s="3">
        <v>45887</v>
      </c>
      <c r="C618" s="4">
        <v>2025</v>
      </c>
      <c r="D618" s="2" t="s">
        <v>52</v>
      </c>
      <c r="E618" s="2" t="s">
        <v>24</v>
      </c>
      <c r="F618" s="2" t="s">
        <v>25</v>
      </c>
      <c r="G618" s="2" t="s">
        <v>26</v>
      </c>
      <c r="H618" s="2" t="s">
        <v>113</v>
      </c>
      <c r="I618" s="2" t="s">
        <v>332</v>
      </c>
      <c r="J618" s="5">
        <v>1</v>
      </c>
      <c r="K618" s="6">
        <v>75500</v>
      </c>
      <c r="L618" s="6">
        <f t="shared" si="27"/>
        <v>75500</v>
      </c>
      <c r="M618" s="7">
        <v>9.4E-2</v>
      </c>
      <c r="N618" s="6">
        <f t="shared" si="28"/>
        <v>7097</v>
      </c>
      <c r="O618" s="6">
        <f t="shared" si="29"/>
        <v>68403</v>
      </c>
    </row>
    <row r="619" spans="1:15">
      <c r="A619" s="8" t="s">
        <v>830</v>
      </c>
      <c r="B619" s="9">
        <v>45391</v>
      </c>
      <c r="C619" s="10">
        <v>2024</v>
      </c>
      <c r="D619" s="8" t="s">
        <v>30</v>
      </c>
      <c r="E619" s="8" t="s">
        <v>17</v>
      </c>
      <c r="F619" s="8" t="s">
        <v>18</v>
      </c>
      <c r="G619" s="8" t="s">
        <v>44</v>
      </c>
      <c r="H619" s="8" t="s">
        <v>223</v>
      </c>
      <c r="I619" s="8" t="s">
        <v>239</v>
      </c>
      <c r="J619" s="11">
        <v>2</v>
      </c>
      <c r="K619" s="12">
        <v>950</v>
      </c>
      <c r="L619" s="12">
        <f t="shared" si="27"/>
        <v>1900</v>
      </c>
      <c r="M619" s="13">
        <v>9.5000000000000001E-2</v>
      </c>
      <c r="N619" s="12">
        <f t="shared" si="28"/>
        <v>180.5</v>
      </c>
      <c r="O619" s="12">
        <f t="shared" si="29"/>
        <v>1719.5</v>
      </c>
    </row>
    <row r="620" spans="1:15">
      <c r="A620" s="2" t="s">
        <v>831</v>
      </c>
      <c r="B620" s="3">
        <v>45530</v>
      </c>
      <c r="C620" s="4">
        <v>2024</v>
      </c>
      <c r="D620" s="2" t="s">
        <v>52</v>
      </c>
      <c r="E620" s="2" t="s">
        <v>24</v>
      </c>
      <c r="F620" s="2" t="s">
        <v>25</v>
      </c>
      <c r="G620" s="2" t="s">
        <v>19</v>
      </c>
      <c r="H620" s="2" t="s">
        <v>116</v>
      </c>
      <c r="I620" s="2" t="s">
        <v>117</v>
      </c>
      <c r="J620" s="5">
        <v>3</v>
      </c>
      <c r="K620" s="6">
        <v>400</v>
      </c>
      <c r="L620" s="6">
        <f t="shared" si="27"/>
        <v>1200</v>
      </c>
      <c r="M620" s="7">
        <v>0</v>
      </c>
      <c r="N620" s="6">
        <f t="shared" si="28"/>
        <v>0</v>
      </c>
      <c r="O620" s="6">
        <f t="shared" si="29"/>
        <v>1200</v>
      </c>
    </row>
    <row r="621" spans="1:15">
      <c r="A621" s="8" t="s">
        <v>832</v>
      </c>
      <c r="B621" s="9">
        <v>45718</v>
      </c>
      <c r="C621" s="10">
        <v>2025</v>
      </c>
      <c r="D621" s="8" t="s">
        <v>78</v>
      </c>
      <c r="E621" s="8" t="s">
        <v>17</v>
      </c>
      <c r="F621" s="8" t="s">
        <v>18</v>
      </c>
      <c r="G621" s="8" t="s">
        <v>31</v>
      </c>
      <c r="H621" s="8" t="s">
        <v>32</v>
      </c>
      <c r="I621" s="8" t="s">
        <v>276</v>
      </c>
      <c r="J621" s="11">
        <v>1</v>
      </c>
      <c r="K621" s="12">
        <v>1100</v>
      </c>
      <c r="L621" s="12">
        <f t="shared" si="27"/>
        <v>1100</v>
      </c>
      <c r="M621" s="13">
        <v>0</v>
      </c>
      <c r="N621" s="12">
        <f t="shared" si="28"/>
        <v>0</v>
      </c>
      <c r="O621" s="12">
        <f t="shared" si="29"/>
        <v>1100</v>
      </c>
    </row>
    <row r="622" spans="1:15">
      <c r="A622" s="2" t="s">
        <v>833</v>
      </c>
      <c r="B622" s="3">
        <v>45201</v>
      </c>
      <c r="C622" s="4">
        <v>2023</v>
      </c>
      <c r="D622" s="2" t="s">
        <v>72</v>
      </c>
      <c r="E622" s="2" t="s">
        <v>42</v>
      </c>
      <c r="F622" s="2" t="s">
        <v>43</v>
      </c>
      <c r="G622" s="2" t="s">
        <v>64</v>
      </c>
      <c r="H622" s="2" t="s">
        <v>97</v>
      </c>
      <c r="I622" s="2" t="s">
        <v>212</v>
      </c>
      <c r="J622" s="5">
        <v>1</v>
      </c>
      <c r="K622" s="6">
        <v>3900</v>
      </c>
      <c r="L622" s="6">
        <f t="shared" si="27"/>
        <v>3900</v>
      </c>
      <c r="M622" s="7">
        <v>0.16900000000000001</v>
      </c>
      <c r="N622" s="6">
        <f t="shared" si="28"/>
        <v>659.1</v>
      </c>
      <c r="O622" s="6">
        <f t="shared" si="29"/>
        <v>3240.9</v>
      </c>
    </row>
    <row r="623" spans="1:15">
      <c r="A623" s="8" t="s">
        <v>834</v>
      </c>
      <c r="B623" s="9">
        <v>45869</v>
      </c>
      <c r="C623" s="10">
        <v>2025</v>
      </c>
      <c r="D623" s="8" t="s">
        <v>68</v>
      </c>
      <c r="E623" s="8" t="s">
        <v>24</v>
      </c>
      <c r="F623" s="8" t="s">
        <v>25</v>
      </c>
      <c r="G623" s="8" t="s">
        <v>31</v>
      </c>
      <c r="H623" s="8" t="s">
        <v>124</v>
      </c>
      <c r="I623" s="8" t="s">
        <v>125</v>
      </c>
      <c r="J623" s="11">
        <v>1</v>
      </c>
      <c r="K623" s="12">
        <v>420</v>
      </c>
      <c r="L623" s="12">
        <f t="shared" si="27"/>
        <v>420</v>
      </c>
      <c r="M623" s="13">
        <v>0</v>
      </c>
      <c r="N623" s="12">
        <f t="shared" si="28"/>
        <v>0</v>
      </c>
      <c r="O623" s="12">
        <f t="shared" si="29"/>
        <v>420</v>
      </c>
    </row>
    <row r="624" spans="1:15">
      <c r="A624" s="2" t="s">
        <v>835</v>
      </c>
      <c r="B624" s="3">
        <v>45109</v>
      </c>
      <c r="C624" s="4">
        <v>2023</v>
      </c>
      <c r="D624" s="2" t="s">
        <v>68</v>
      </c>
      <c r="E624" s="2" t="s">
        <v>24</v>
      </c>
      <c r="F624" s="2" t="s">
        <v>25</v>
      </c>
      <c r="G624" s="2" t="s">
        <v>44</v>
      </c>
      <c r="H624" s="2" t="s">
        <v>223</v>
      </c>
      <c r="I624" s="2" t="s">
        <v>239</v>
      </c>
      <c r="J624" s="5">
        <v>5</v>
      </c>
      <c r="K624" s="6">
        <v>410</v>
      </c>
      <c r="L624" s="6">
        <f t="shared" si="27"/>
        <v>2050</v>
      </c>
      <c r="M624" s="7">
        <v>7.3999999999999996E-2</v>
      </c>
      <c r="N624" s="6">
        <f t="shared" si="28"/>
        <v>151.69999999999999</v>
      </c>
      <c r="O624" s="6">
        <f t="shared" si="29"/>
        <v>1898.3</v>
      </c>
    </row>
    <row r="625" spans="1:15">
      <c r="A625" s="8" t="s">
        <v>836</v>
      </c>
      <c r="B625" s="9">
        <v>45950</v>
      </c>
      <c r="C625" s="10">
        <v>2025</v>
      </c>
      <c r="D625" s="8" t="s">
        <v>72</v>
      </c>
      <c r="E625" s="8" t="s">
        <v>17</v>
      </c>
      <c r="F625" s="8" t="s">
        <v>18</v>
      </c>
      <c r="G625" s="8" t="s">
        <v>44</v>
      </c>
      <c r="H625" s="8" t="s">
        <v>176</v>
      </c>
      <c r="I625" s="8" t="s">
        <v>453</v>
      </c>
      <c r="J625" s="11">
        <v>1</v>
      </c>
      <c r="K625" s="12">
        <v>1350</v>
      </c>
      <c r="L625" s="12">
        <f t="shared" si="27"/>
        <v>1350</v>
      </c>
      <c r="M625" s="13">
        <v>0</v>
      </c>
      <c r="N625" s="12">
        <f t="shared" si="28"/>
        <v>0</v>
      </c>
      <c r="O625" s="12">
        <f t="shared" si="29"/>
        <v>1350</v>
      </c>
    </row>
    <row r="626" spans="1:15">
      <c r="A626" s="2" t="s">
        <v>837</v>
      </c>
      <c r="B626" s="3">
        <v>45463</v>
      </c>
      <c r="C626" s="4">
        <v>2024</v>
      </c>
      <c r="D626" s="2" t="s">
        <v>100</v>
      </c>
      <c r="E626" s="2" t="s">
        <v>42</v>
      </c>
      <c r="F626" s="2" t="s">
        <v>43</v>
      </c>
      <c r="G626" s="2" t="s">
        <v>19</v>
      </c>
      <c r="H626" s="2" t="s">
        <v>141</v>
      </c>
      <c r="I626" s="2" t="s">
        <v>142</v>
      </c>
      <c r="J626" s="5">
        <v>2</v>
      </c>
      <c r="K626" s="6">
        <v>750</v>
      </c>
      <c r="L626" s="6">
        <f t="shared" si="27"/>
        <v>1500</v>
      </c>
      <c r="M626" s="7">
        <v>0</v>
      </c>
      <c r="N626" s="6">
        <f t="shared" si="28"/>
        <v>0</v>
      </c>
      <c r="O626" s="6">
        <f t="shared" si="29"/>
        <v>1500</v>
      </c>
    </row>
    <row r="627" spans="1:15">
      <c r="A627" s="8" t="s">
        <v>838</v>
      </c>
      <c r="B627" s="9">
        <v>45265</v>
      </c>
      <c r="C627" s="10">
        <v>2023</v>
      </c>
      <c r="D627" s="8" t="s">
        <v>16</v>
      </c>
      <c r="E627" s="8" t="s">
        <v>35</v>
      </c>
      <c r="F627" s="8" t="s">
        <v>36</v>
      </c>
      <c r="G627" s="8" t="s">
        <v>26</v>
      </c>
      <c r="H627" s="8" t="s">
        <v>27</v>
      </c>
      <c r="I627" s="8" t="s">
        <v>237</v>
      </c>
      <c r="J627" s="11">
        <v>1</v>
      </c>
      <c r="K627" s="12">
        <v>58000</v>
      </c>
      <c r="L627" s="12">
        <f t="shared" si="27"/>
        <v>58000</v>
      </c>
      <c r="M627" s="13">
        <v>0.13100000000000001</v>
      </c>
      <c r="N627" s="12">
        <f t="shared" si="28"/>
        <v>7598</v>
      </c>
      <c r="O627" s="12">
        <f t="shared" si="29"/>
        <v>50402</v>
      </c>
    </row>
    <row r="628" spans="1:15">
      <c r="A628" s="2" t="s">
        <v>839</v>
      </c>
      <c r="B628" s="3">
        <v>45758</v>
      </c>
      <c r="C628" s="4">
        <v>2025</v>
      </c>
      <c r="D628" s="2" t="s">
        <v>30</v>
      </c>
      <c r="E628" s="2" t="s">
        <v>24</v>
      </c>
      <c r="F628" s="2" t="s">
        <v>25</v>
      </c>
      <c r="G628" s="2" t="s">
        <v>44</v>
      </c>
      <c r="H628" s="2" t="s">
        <v>45</v>
      </c>
      <c r="I628" s="2" t="s">
        <v>46</v>
      </c>
      <c r="J628" s="5">
        <v>4</v>
      </c>
      <c r="K628" s="6">
        <v>150</v>
      </c>
      <c r="L628" s="6">
        <f t="shared" si="27"/>
        <v>600</v>
      </c>
      <c r="M628" s="7">
        <v>0.01</v>
      </c>
      <c r="N628" s="6">
        <f t="shared" si="28"/>
        <v>6</v>
      </c>
      <c r="O628" s="6">
        <f t="shared" si="29"/>
        <v>594</v>
      </c>
    </row>
    <row r="629" spans="1:15">
      <c r="A629" s="8" t="s">
        <v>840</v>
      </c>
      <c r="B629" s="9">
        <v>45189</v>
      </c>
      <c r="C629" s="10">
        <v>2023</v>
      </c>
      <c r="D629" s="8" t="s">
        <v>123</v>
      </c>
      <c r="E629" s="8" t="s">
        <v>42</v>
      </c>
      <c r="F629" s="8" t="s">
        <v>43</v>
      </c>
      <c r="G629" s="8" t="s">
        <v>19</v>
      </c>
      <c r="H629" s="8" t="s">
        <v>141</v>
      </c>
      <c r="I629" s="8" t="s">
        <v>278</v>
      </c>
      <c r="J629" s="11">
        <v>1</v>
      </c>
      <c r="K629" s="12">
        <v>1000</v>
      </c>
      <c r="L629" s="12">
        <f t="shared" si="27"/>
        <v>1000</v>
      </c>
      <c r="M629" s="13">
        <v>0</v>
      </c>
      <c r="N629" s="12">
        <f t="shared" si="28"/>
        <v>0</v>
      </c>
      <c r="O629" s="12">
        <f t="shared" si="29"/>
        <v>1000</v>
      </c>
    </row>
    <row r="630" spans="1:15">
      <c r="A630" s="2" t="s">
        <v>841</v>
      </c>
      <c r="B630" s="3">
        <v>45538</v>
      </c>
      <c r="C630" s="4">
        <v>2024</v>
      </c>
      <c r="D630" s="2" t="s">
        <v>123</v>
      </c>
      <c r="E630" s="2" t="s">
        <v>42</v>
      </c>
      <c r="F630" s="2" t="s">
        <v>43</v>
      </c>
      <c r="G630" s="2" t="s">
        <v>31</v>
      </c>
      <c r="H630" s="2" t="s">
        <v>124</v>
      </c>
      <c r="I630" s="2" t="s">
        <v>264</v>
      </c>
      <c r="J630" s="5">
        <v>8</v>
      </c>
      <c r="K630" s="6">
        <v>1050</v>
      </c>
      <c r="L630" s="6">
        <f t="shared" si="27"/>
        <v>8400</v>
      </c>
      <c r="M630" s="7">
        <v>2.1999999999999999E-2</v>
      </c>
      <c r="N630" s="6">
        <f t="shared" si="28"/>
        <v>184.79999999999998</v>
      </c>
      <c r="O630" s="6">
        <f t="shared" si="29"/>
        <v>8215.2000000000007</v>
      </c>
    </row>
    <row r="631" spans="1:15">
      <c r="A631" s="8" t="s">
        <v>842</v>
      </c>
      <c r="B631" s="9">
        <v>45967</v>
      </c>
      <c r="C631" s="10">
        <v>2025</v>
      </c>
      <c r="D631" s="8" t="s">
        <v>41</v>
      </c>
      <c r="E631" s="8" t="s">
        <v>35</v>
      </c>
      <c r="F631" s="8" t="s">
        <v>36</v>
      </c>
      <c r="G631" s="8" t="s">
        <v>57</v>
      </c>
      <c r="H631" s="8" t="s">
        <v>58</v>
      </c>
      <c r="I631" s="8" t="s">
        <v>174</v>
      </c>
      <c r="J631" s="11">
        <v>1</v>
      </c>
      <c r="K631" s="12">
        <v>4550</v>
      </c>
      <c r="L631" s="12">
        <f t="shared" si="27"/>
        <v>4550</v>
      </c>
      <c r="M631" s="13">
        <v>8.6999999999999994E-2</v>
      </c>
      <c r="N631" s="12">
        <f t="shared" si="28"/>
        <v>395.84999999999997</v>
      </c>
      <c r="O631" s="12">
        <f t="shared" si="29"/>
        <v>4154.1499999999996</v>
      </c>
    </row>
    <row r="632" spans="1:15">
      <c r="A632" s="2" t="s">
        <v>843</v>
      </c>
      <c r="B632" s="3">
        <v>45875</v>
      </c>
      <c r="C632" s="4">
        <v>2025</v>
      </c>
      <c r="D632" s="2" t="s">
        <v>52</v>
      </c>
      <c r="E632" s="2" t="s">
        <v>24</v>
      </c>
      <c r="F632" s="2" t="s">
        <v>25</v>
      </c>
      <c r="G632" s="2" t="s">
        <v>64</v>
      </c>
      <c r="H632" s="2" t="s">
        <v>94</v>
      </c>
      <c r="I632" s="2" t="s">
        <v>95</v>
      </c>
      <c r="J632" s="5">
        <v>1</v>
      </c>
      <c r="K632" s="6">
        <v>4100</v>
      </c>
      <c r="L632" s="6">
        <f t="shared" si="27"/>
        <v>4100</v>
      </c>
      <c r="M632" s="7">
        <v>0.14000000000000001</v>
      </c>
      <c r="N632" s="6">
        <f t="shared" si="28"/>
        <v>574</v>
      </c>
      <c r="O632" s="6">
        <f t="shared" si="29"/>
        <v>3526</v>
      </c>
    </row>
    <row r="633" spans="1:15">
      <c r="A633" s="8" t="s">
        <v>844</v>
      </c>
      <c r="B633" s="9">
        <v>45885</v>
      </c>
      <c r="C633" s="10">
        <v>2025</v>
      </c>
      <c r="D633" s="8" t="s">
        <v>52</v>
      </c>
      <c r="E633" s="8" t="s">
        <v>35</v>
      </c>
      <c r="F633" s="8" t="s">
        <v>36</v>
      </c>
      <c r="G633" s="8" t="s">
        <v>31</v>
      </c>
      <c r="H633" s="8" t="s">
        <v>32</v>
      </c>
      <c r="I633" s="8" t="s">
        <v>198</v>
      </c>
      <c r="J633" s="11">
        <v>5</v>
      </c>
      <c r="K633" s="12">
        <v>800</v>
      </c>
      <c r="L633" s="12">
        <f t="shared" si="27"/>
        <v>4000</v>
      </c>
      <c r="M633" s="13">
        <v>0</v>
      </c>
      <c r="N633" s="12">
        <f t="shared" si="28"/>
        <v>0</v>
      </c>
      <c r="O633" s="12">
        <f t="shared" si="29"/>
        <v>4000</v>
      </c>
    </row>
    <row r="634" spans="1:15">
      <c r="A634" s="2" t="s">
        <v>845</v>
      </c>
      <c r="B634" s="3">
        <v>45113</v>
      </c>
      <c r="C634" s="4">
        <v>2023</v>
      </c>
      <c r="D634" s="2" t="s">
        <v>68</v>
      </c>
      <c r="E634" s="2" t="s">
        <v>17</v>
      </c>
      <c r="F634" s="2" t="s">
        <v>18</v>
      </c>
      <c r="G634" s="2" t="s">
        <v>44</v>
      </c>
      <c r="H634" s="2" t="s">
        <v>45</v>
      </c>
      <c r="I634" s="2" t="s">
        <v>46</v>
      </c>
      <c r="J634" s="5">
        <v>2</v>
      </c>
      <c r="K634" s="6">
        <v>1250</v>
      </c>
      <c r="L634" s="6">
        <f t="shared" si="27"/>
        <v>2500</v>
      </c>
      <c r="M634" s="7">
        <v>0</v>
      </c>
      <c r="N634" s="6">
        <f t="shared" si="28"/>
        <v>0</v>
      </c>
      <c r="O634" s="6">
        <f t="shared" si="29"/>
        <v>2500</v>
      </c>
    </row>
    <row r="635" spans="1:15">
      <c r="A635" s="8" t="s">
        <v>846</v>
      </c>
      <c r="B635" s="9">
        <v>45779</v>
      </c>
      <c r="C635" s="10">
        <v>2025</v>
      </c>
      <c r="D635" s="8" t="s">
        <v>48</v>
      </c>
      <c r="E635" s="8" t="s">
        <v>42</v>
      </c>
      <c r="F635" s="8" t="s">
        <v>43</v>
      </c>
      <c r="G635" s="8" t="s">
        <v>44</v>
      </c>
      <c r="H635" s="8" t="s">
        <v>45</v>
      </c>
      <c r="I635" s="8" t="s">
        <v>307</v>
      </c>
      <c r="J635" s="11">
        <v>8</v>
      </c>
      <c r="K635" s="12">
        <v>1250</v>
      </c>
      <c r="L635" s="12">
        <f t="shared" si="27"/>
        <v>10000</v>
      </c>
      <c r="M635" s="13">
        <v>0</v>
      </c>
      <c r="N635" s="12">
        <f t="shared" si="28"/>
        <v>0</v>
      </c>
      <c r="O635" s="12">
        <f t="shared" si="29"/>
        <v>10000</v>
      </c>
    </row>
    <row r="636" spans="1:15">
      <c r="A636" s="2" t="s">
        <v>847</v>
      </c>
      <c r="B636" s="3">
        <v>45895</v>
      </c>
      <c r="C636" s="4">
        <v>2025</v>
      </c>
      <c r="D636" s="2" t="s">
        <v>52</v>
      </c>
      <c r="E636" s="2" t="s">
        <v>35</v>
      </c>
      <c r="F636" s="2" t="s">
        <v>36</v>
      </c>
      <c r="G636" s="2" t="s">
        <v>53</v>
      </c>
      <c r="H636" s="2" t="s">
        <v>285</v>
      </c>
      <c r="I636" s="2" t="s">
        <v>820</v>
      </c>
      <c r="J636" s="5">
        <v>3</v>
      </c>
      <c r="K636" s="6">
        <v>4200</v>
      </c>
      <c r="L636" s="6">
        <f t="shared" si="27"/>
        <v>12600</v>
      </c>
      <c r="M636" s="7">
        <v>0</v>
      </c>
      <c r="N636" s="6">
        <f t="shared" si="28"/>
        <v>0</v>
      </c>
      <c r="O636" s="6">
        <f t="shared" si="29"/>
        <v>12600</v>
      </c>
    </row>
    <row r="637" spans="1:15">
      <c r="A637" s="8" t="s">
        <v>848</v>
      </c>
      <c r="B637" s="9">
        <v>45152</v>
      </c>
      <c r="C637" s="10">
        <v>2023</v>
      </c>
      <c r="D637" s="8" t="s">
        <v>52</v>
      </c>
      <c r="E637" s="8" t="s">
        <v>42</v>
      </c>
      <c r="F637" s="8" t="s">
        <v>43</v>
      </c>
      <c r="G637" s="8" t="s">
        <v>44</v>
      </c>
      <c r="H637" s="8" t="s">
        <v>61</v>
      </c>
      <c r="I637" s="8" t="s">
        <v>232</v>
      </c>
      <c r="J637" s="11">
        <v>2</v>
      </c>
      <c r="K637" s="12">
        <v>1600</v>
      </c>
      <c r="L637" s="12">
        <f t="shared" si="27"/>
        <v>3200</v>
      </c>
      <c r="M637" s="13">
        <v>0</v>
      </c>
      <c r="N637" s="12">
        <f t="shared" si="28"/>
        <v>0</v>
      </c>
      <c r="O637" s="12">
        <f t="shared" si="29"/>
        <v>3200</v>
      </c>
    </row>
    <row r="638" spans="1:15">
      <c r="A638" s="2" t="s">
        <v>849</v>
      </c>
      <c r="B638" s="3">
        <v>45885</v>
      </c>
      <c r="C638" s="4">
        <v>2025</v>
      </c>
      <c r="D638" s="2" t="s">
        <v>52</v>
      </c>
      <c r="E638" s="2" t="s">
        <v>35</v>
      </c>
      <c r="F638" s="2" t="s">
        <v>36</v>
      </c>
      <c r="G638" s="2" t="s">
        <v>31</v>
      </c>
      <c r="H638" s="2" t="s">
        <v>84</v>
      </c>
      <c r="I638" s="2" t="s">
        <v>448</v>
      </c>
      <c r="J638" s="5">
        <v>2</v>
      </c>
      <c r="K638" s="6">
        <v>320</v>
      </c>
      <c r="L638" s="6">
        <f t="shared" si="27"/>
        <v>640</v>
      </c>
      <c r="M638" s="7">
        <v>0</v>
      </c>
      <c r="N638" s="6">
        <f t="shared" si="28"/>
        <v>0</v>
      </c>
      <c r="O638" s="6">
        <f t="shared" si="29"/>
        <v>640</v>
      </c>
    </row>
    <row r="639" spans="1:15">
      <c r="A639" s="8" t="s">
        <v>850</v>
      </c>
      <c r="B639" s="9">
        <v>45391</v>
      </c>
      <c r="C639" s="10">
        <v>2024</v>
      </c>
      <c r="D639" s="8" t="s">
        <v>30</v>
      </c>
      <c r="E639" s="8" t="s">
        <v>35</v>
      </c>
      <c r="F639" s="8" t="s">
        <v>36</v>
      </c>
      <c r="G639" s="8" t="s">
        <v>19</v>
      </c>
      <c r="H639" s="8" t="s">
        <v>116</v>
      </c>
      <c r="I639" s="8" t="s">
        <v>117</v>
      </c>
      <c r="J639" s="11">
        <v>5</v>
      </c>
      <c r="K639" s="12">
        <v>270</v>
      </c>
      <c r="L639" s="12">
        <f t="shared" si="27"/>
        <v>1350</v>
      </c>
      <c r="M639" s="13">
        <v>5.2999999999999999E-2</v>
      </c>
      <c r="N639" s="12">
        <f t="shared" si="28"/>
        <v>71.55</v>
      </c>
      <c r="O639" s="12">
        <f t="shared" si="29"/>
        <v>1278.45</v>
      </c>
    </row>
    <row r="640" spans="1:15">
      <c r="A640" s="2" t="s">
        <v>851</v>
      </c>
      <c r="B640" s="3">
        <v>45802</v>
      </c>
      <c r="C640" s="4">
        <v>2025</v>
      </c>
      <c r="D640" s="2" t="s">
        <v>48</v>
      </c>
      <c r="E640" s="2" t="s">
        <v>42</v>
      </c>
      <c r="F640" s="2" t="s">
        <v>43</v>
      </c>
      <c r="G640" s="2" t="s">
        <v>53</v>
      </c>
      <c r="H640" s="2" t="s">
        <v>193</v>
      </c>
      <c r="I640" s="2" t="s">
        <v>438</v>
      </c>
      <c r="J640" s="5">
        <v>1</v>
      </c>
      <c r="K640" s="6">
        <v>3300</v>
      </c>
      <c r="L640" s="6">
        <f t="shared" si="27"/>
        <v>3300</v>
      </c>
      <c r="M640" s="7">
        <v>2.1000000000000001E-2</v>
      </c>
      <c r="N640" s="6">
        <f t="shared" si="28"/>
        <v>69.300000000000011</v>
      </c>
      <c r="O640" s="6">
        <f t="shared" si="29"/>
        <v>3230.7</v>
      </c>
    </row>
    <row r="641" spans="1:15">
      <c r="A641" s="8" t="s">
        <v>852</v>
      </c>
      <c r="B641" s="9">
        <v>45072</v>
      </c>
      <c r="C641" s="10">
        <v>2023</v>
      </c>
      <c r="D641" s="8" t="s">
        <v>48</v>
      </c>
      <c r="E641" s="8" t="s">
        <v>42</v>
      </c>
      <c r="F641" s="8" t="s">
        <v>43</v>
      </c>
      <c r="G641" s="8" t="s">
        <v>31</v>
      </c>
      <c r="H641" s="8" t="s">
        <v>84</v>
      </c>
      <c r="I641" s="8" t="s">
        <v>85</v>
      </c>
      <c r="J641" s="11">
        <v>6</v>
      </c>
      <c r="K641" s="12">
        <v>140</v>
      </c>
      <c r="L641" s="12">
        <f t="shared" si="27"/>
        <v>840</v>
      </c>
      <c r="M641" s="13">
        <v>4.7E-2</v>
      </c>
      <c r="N641" s="12">
        <f t="shared" si="28"/>
        <v>39.479999999999997</v>
      </c>
      <c r="O641" s="12">
        <f t="shared" si="29"/>
        <v>800.52</v>
      </c>
    </row>
    <row r="642" spans="1:15">
      <c r="A642" s="2" t="s">
        <v>853</v>
      </c>
      <c r="B642" s="3">
        <v>45857</v>
      </c>
      <c r="C642" s="4">
        <v>2025</v>
      </c>
      <c r="D642" s="2" t="s">
        <v>68</v>
      </c>
      <c r="E642" s="2" t="s">
        <v>35</v>
      </c>
      <c r="F642" s="2" t="s">
        <v>36</v>
      </c>
      <c r="G642" s="2" t="s">
        <v>44</v>
      </c>
      <c r="H642" s="2" t="s">
        <v>176</v>
      </c>
      <c r="I642" s="2" t="s">
        <v>525</v>
      </c>
      <c r="J642" s="5">
        <v>5</v>
      </c>
      <c r="K642" s="6">
        <v>1100</v>
      </c>
      <c r="L642" s="6">
        <f t="shared" ref="L642:L705" si="30">J642*K642</f>
        <v>5500</v>
      </c>
      <c r="M642" s="7">
        <v>0</v>
      </c>
      <c r="N642" s="6">
        <f t="shared" ref="N642:N705" si="31">L642*M642</f>
        <v>0</v>
      </c>
      <c r="O642" s="6">
        <f t="shared" ref="O642:O705" si="32">L642-N642</f>
        <v>5500</v>
      </c>
    </row>
    <row r="643" spans="1:15">
      <c r="A643" s="8" t="s">
        <v>854</v>
      </c>
      <c r="B643" s="9">
        <v>45102</v>
      </c>
      <c r="C643" s="10">
        <v>2023</v>
      </c>
      <c r="D643" s="8" t="s">
        <v>100</v>
      </c>
      <c r="E643" s="8" t="s">
        <v>42</v>
      </c>
      <c r="F643" s="8" t="s">
        <v>43</v>
      </c>
      <c r="G643" s="8" t="s">
        <v>31</v>
      </c>
      <c r="H643" s="8" t="s">
        <v>124</v>
      </c>
      <c r="I643" s="8" t="s">
        <v>188</v>
      </c>
      <c r="J643" s="11">
        <v>2</v>
      </c>
      <c r="K643" s="12">
        <v>600</v>
      </c>
      <c r="L643" s="12">
        <f t="shared" si="30"/>
        <v>1200</v>
      </c>
      <c r="M643" s="13">
        <v>0</v>
      </c>
      <c r="N643" s="12">
        <f t="shared" si="31"/>
        <v>0</v>
      </c>
      <c r="O643" s="12">
        <f t="shared" si="32"/>
        <v>1200</v>
      </c>
    </row>
    <row r="644" spans="1:15">
      <c r="A644" s="2" t="s">
        <v>855</v>
      </c>
      <c r="B644" s="3">
        <v>45708</v>
      </c>
      <c r="C644" s="4">
        <v>2025</v>
      </c>
      <c r="D644" s="2" t="s">
        <v>23</v>
      </c>
      <c r="E644" s="2" t="s">
        <v>42</v>
      </c>
      <c r="F644" s="2" t="s">
        <v>43</v>
      </c>
      <c r="G644" s="2" t="s">
        <v>26</v>
      </c>
      <c r="H644" s="2" t="s">
        <v>113</v>
      </c>
      <c r="I644" s="2" t="s">
        <v>856</v>
      </c>
      <c r="J644" s="5">
        <v>2</v>
      </c>
      <c r="K644" s="6">
        <v>38000</v>
      </c>
      <c r="L644" s="6">
        <f t="shared" si="30"/>
        <v>76000</v>
      </c>
      <c r="M644" s="7">
        <v>0</v>
      </c>
      <c r="N644" s="6">
        <f t="shared" si="31"/>
        <v>0</v>
      </c>
      <c r="O644" s="6">
        <f t="shared" si="32"/>
        <v>76000</v>
      </c>
    </row>
    <row r="645" spans="1:15">
      <c r="A645" s="8" t="s">
        <v>857</v>
      </c>
      <c r="B645" s="9">
        <v>45447</v>
      </c>
      <c r="C645" s="10">
        <v>2024</v>
      </c>
      <c r="D645" s="8" t="s">
        <v>100</v>
      </c>
      <c r="E645" s="8" t="s">
        <v>17</v>
      </c>
      <c r="F645" s="8" t="s">
        <v>18</v>
      </c>
      <c r="G645" s="8" t="s">
        <v>64</v>
      </c>
      <c r="H645" s="8" t="s">
        <v>94</v>
      </c>
      <c r="I645" s="8" t="s">
        <v>420</v>
      </c>
      <c r="J645" s="11">
        <v>4</v>
      </c>
      <c r="K645" s="12">
        <v>400</v>
      </c>
      <c r="L645" s="12">
        <f t="shared" si="30"/>
        <v>1600</v>
      </c>
      <c r="M645" s="13">
        <v>6.9000000000000006E-2</v>
      </c>
      <c r="N645" s="12">
        <f t="shared" si="31"/>
        <v>110.4</v>
      </c>
      <c r="O645" s="12">
        <f t="shared" si="32"/>
        <v>1489.6</v>
      </c>
    </row>
    <row r="646" spans="1:15">
      <c r="A646" s="2" t="s">
        <v>858</v>
      </c>
      <c r="B646" s="3">
        <v>45256</v>
      </c>
      <c r="C646" s="4">
        <v>2023</v>
      </c>
      <c r="D646" s="2" t="s">
        <v>41</v>
      </c>
      <c r="E646" s="2" t="s">
        <v>42</v>
      </c>
      <c r="F646" s="2" t="s">
        <v>43</v>
      </c>
      <c r="G646" s="2" t="s">
        <v>53</v>
      </c>
      <c r="H646" s="2" t="s">
        <v>193</v>
      </c>
      <c r="I646" s="2" t="s">
        <v>334</v>
      </c>
      <c r="J646" s="5">
        <v>1</v>
      </c>
      <c r="K646" s="6">
        <v>4150</v>
      </c>
      <c r="L646" s="6">
        <f t="shared" si="30"/>
        <v>4150</v>
      </c>
      <c r="M646" s="7">
        <v>0</v>
      </c>
      <c r="N646" s="6">
        <f t="shared" si="31"/>
        <v>0</v>
      </c>
      <c r="O646" s="6">
        <f t="shared" si="32"/>
        <v>4150</v>
      </c>
    </row>
    <row r="647" spans="1:15">
      <c r="A647" s="8" t="s">
        <v>859</v>
      </c>
      <c r="B647" s="9">
        <v>45887</v>
      </c>
      <c r="C647" s="10">
        <v>2025</v>
      </c>
      <c r="D647" s="8" t="s">
        <v>52</v>
      </c>
      <c r="E647" s="8" t="s">
        <v>17</v>
      </c>
      <c r="F647" s="8" t="s">
        <v>18</v>
      </c>
      <c r="G647" s="8" t="s">
        <v>44</v>
      </c>
      <c r="H647" s="8" t="s">
        <v>176</v>
      </c>
      <c r="I647" s="8" t="s">
        <v>453</v>
      </c>
      <c r="J647" s="11">
        <v>2</v>
      </c>
      <c r="K647" s="12">
        <v>750</v>
      </c>
      <c r="L647" s="12">
        <f t="shared" si="30"/>
        <v>1500</v>
      </c>
      <c r="M647" s="13">
        <v>1.9E-2</v>
      </c>
      <c r="N647" s="12">
        <f t="shared" si="31"/>
        <v>28.5</v>
      </c>
      <c r="O647" s="12">
        <f t="shared" si="32"/>
        <v>1471.5</v>
      </c>
    </row>
    <row r="648" spans="1:15">
      <c r="A648" s="2" t="s">
        <v>860</v>
      </c>
      <c r="B648" s="3">
        <v>45866</v>
      </c>
      <c r="C648" s="4">
        <v>2025</v>
      </c>
      <c r="D648" s="2" t="s">
        <v>68</v>
      </c>
      <c r="E648" s="2" t="s">
        <v>24</v>
      </c>
      <c r="F648" s="2" t="s">
        <v>25</v>
      </c>
      <c r="G648" s="2" t="s">
        <v>64</v>
      </c>
      <c r="H648" s="2" t="s">
        <v>127</v>
      </c>
      <c r="I648" s="2" t="s">
        <v>479</v>
      </c>
      <c r="J648" s="5">
        <v>1</v>
      </c>
      <c r="K648" s="6">
        <v>900</v>
      </c>
      <c r="L648" s="6">
        <f t="shared" si="30"/>
        <v>900</v>
      </c>
      <c r="M648" s="7">
        <v>7.4999999999999997E-2</v>
      </c>
      <c r="N648" s="6">
        <f t="shared" si="31"/>
        <v>67.5</v>
      </c>
      <c r="O648" s="6">
        <f t="shared" si="32"/>
        <v>832.5</v>
      </c>
    </row>
    <row r="649" spans="1:15">
      <c r="A649" s="8" t="s">
        <v>861</v>
      </c>
      <c r="B649" s="9">
        <v>45513</v>
      </c>
      <c r="C649" s="10">
        <v>2024</v>
      </c>
      <c r="D649" s="8" t="s">
        <v>52</v>
      </c>
      <c r="E649" s="8" t="s">
        <v>17</v>
      </c>
      <c r="F649" s="8" t="s">
        <v>18</v>
      </c>
      <c r="G649" s="8" t="s">
        <v>44</v>
      </c>
      <c r="H649" s="8" t="s">
        <v>176</v>
      </c>
      <c r="I649" s="8" t="s">
        <v>525</v>
      </c>
      <c r="J649" s="11">
        <v>4</v>
      </c>
      <c r="K649" s="12">
        <v>470</v>
      </c>
      <c r="L649" s="12">
        <f t="shared" si="30"/>
        <v>1880</v>
      </c>
      <c r="M649" s="13">
        <v>9.1999999999999998E-2</v>
      </c>
      <c r="N649" s="12">
        <f t="shared" si="31"/>
        <v>172.96</v>
      </c>
      <c r="O649" s="12">
        <f t="shared" si="32"/>
        <v>1707.04</v>
      </c>
    </row>
    <row r="650" spans="1:15">
      <c r="A650" s="2" t="s">
        <v>862</v>
      </c>
      <c r="B650" s="3">
        <v>45241</v>
      </c>
      <c r="C650" s="4">
        <v>2023</v>
      </c>
      <c r="D650" s="2" t="s">
        <v>41</v>
      </c>
      <c r="E650" s="2" t="s">
        <v>17</v>
      </c>
      <c r="F650" s="2" t="s">
        <v>18</v>
      </c>
      <c r="G650" s="2" t="s">
        <v>26</v>
      </c>
      <c r="H650" s="2" t="s">
        <v>27</v>
      </c>
      <c r="I650" s="2" t="s">
        <v>237</v>
      </c>
      <c r="J650" s="5">
        <v>1</v>
      </c>
      <c r="K650" s="6">
        <v>32500</v>
      </c>
      <c r="L650" s="6">
        <f t="shared" si="30"/>
        <v>32500</v>
      </c>
      <c r="M650" s="7">
        <v>5.8000000000000003E-2</v>
      </c>
      <c r="N650" s="6">
        <f t="shared" si="31"/>
        <v>1885</v>
      </c>
      <c r="O650" s="6">
        <f t="shared" si="32"/>
        <v>30615</v>
      </c>
    </row>
    <row r="651" spans="1:15">
      <c r="A651" s="8" t="s">
        <v>863</v>
      </c>
      <c r="B651" s="9">
        <v>45459</v>
      </c>
      <c r="C651" s="10">
        <v>2024</v>
      </c>
      <c r="D651" s="8" t="s">
        <v>100</v>
      </c>
      <c r="E651" s="8" t="s">
        <v>35</v>
      </c>
      <c r="F651" s="8" t="s">
        <v>36</v>
      </c>
      <c r="G651" s="8" t="s">
        <v>37</v>
      </c>
      <c r="H651" s="8" t="s">
        <v>91</v>
      </c>
      <c r="I651" s="8" t="s">
        <v>92</v>
      </c>
      <c r="J651" s="11">
        <v>1</v>
      </c>
      <c r="K651" s="12">
        <v>1950</v>
      </c>
      <c r="L651" s="12">
        <f t="shared" si="30"/>
        <v>1950</v>
      </c>
      <c r="M651" s="13">
        <v>2.3E-2</v>
      </c>
      <c r="N651" s="12">
        <f t="shared" si="31"/>
        <v>44.85</v>
      </c>
      <c r="O651" s="12">
        <f t="shared" si="32"/>
        <v>1905.15</v>
      </c>
    </row>
    <row r="652" spans="1:15">
      <c r="A652" s="2" t="s">
        <v>864</v>
      </c>
      <c r="B652" s="3">
        <v>45105</v>
      </c>
      <c r="C652" s="4">
        <v>2023</v>
      </c>
      <c r="D652" s="2" t="s">
        <v>100</v>
      </c>
      <c r="E652" s="2" t="s">
        <v>17</v>
      </c>
      <c r="F652" s="2" t="s">
        <v>18</v>
      </c>
      <c r="G652" s="2" t="s">
        <v>26</v>
      </c>
      <c r="H652" s="2" t="s">
        <v>113</v>
      </c>
      <c r="I652" s="2" t="s">
        <v>162</v>
      </c>
      <c r="J652" s="5">
        <v>2</v>
      </c>
      <c r="K652" s="6">
        <v>8500</v>
      </c>
      <c r="L652" s="6">
        <f t="shared" si="30"/>
        <v>17000</v>
      </c>
      <c r="M652" s="7">
        <v>0</v>
      </c>
      <c r="N652" s="6">
        <f t="shared" si="31"/>
        <v>0</v>
      </c>
      <c r="O652" s="6">
        <f t="shared" si="32"/>
        <v>17000</v>
      </c>
    </row>
    <row r="653" spans="1:15">
      <c r="A653" s="8" t="s">
        <v>865</v>
      </c>
      <c r="B653" s="9">
        <v>45692</v>
      </c>
      <c r="C653" s="10">
        <v>2025</v>
      </c>
      <c r="D653" s="8" t="s">
        <v>23</v>
      </c>
      <c r="E653" s="8" t="s">
        <v>42</v>
      </c>
      <c r="F653" s="8" t="s">
        <v>43</v>
      </c>
      <c r="G653" s="8" t="s">
        <v>44</v>
      </c>
      <c r="H653" s="8" t="s">
        <v>223</v>
      </c>
      <c r="I653" s="8" t="s">
        <v>320</v>
      </c>
      <c r="J653" s="11">
        <v>8</v>
      </c>
      <c r="K653" s="12">
        <v>1150</v>
      </c>
      <c r="L653" s="12">
        <f t="shared" si="30"/>
        <v>9200</v>
      </c>
      <c r="M653" s="13">
        <v>4.1000000000000002E-2</v>
      </c>
      <c r="N653" s="12">
        <f t="shared" si="31"/>
        <v>377.2</v>
      </c>
      <c r="O653" s="12">
        <f t="shared" si="32"/>
        <v>8822.7999999999993</v>
      </c>
    </row>
    <row r="654" spans="1:15">
      <c r="A654" s="2" t="s">
        <v>866</v>
      </c>
      <c r="B654" s="3">
        <v>45957</v>
      </c>
      <c r="C654" s="4">
        <v>2025</v>
      </c>
      <c r="D654" s="2" t="s">
        <v>72</v>
      </c>
      <c r="E654" s="2" t="s">
        <v>42</v>
      </c>
      <c r="F654" s="2" t="s">
        <v>43</v>
      </c>
      <c r="G654" s="2" t="s">
        <v>31</v>
      </c>
      <c r="H654" s="2" t="s">
        <v>124</v>
      </c>
      <c r="I654" s="2" t="s">
        <v>264</v>
      </c>
      <c r="J654" s="5">
        <v>2</v>
      </c>
      <c r="K654" s="6">
        <v>650</v>
      </c>
      <c r="L654" s="6">
        <f t="shared" si="30"/>
        <v>1300</v>
      </c>
      <c r="M654" s="7">
        <v>0</v>
      </c>
      <c r="N654" s="6">
        <f t="shared" si="31"/>
        <v>0</v>
      </c>
      <c r="O654" s="6">
        <f t="shared" si="32"/>
        <v>1300</v>
      </c>
    </row>
    <row r="655" spans="1:15">
      <c r="A655" s="8" t="s">
        <v>867</v>
      </c>
      <c r="B655" s="9">
        <v>44951</v>
      </c>
      <c r="C655" s="10">
        <v>2023</v>
      </c>
      <c r="D655" s="8" t="s">
        <v>169</v>
      </c>
      <c r="E655" s="8" t="s">
        <v>17</v>
      </c>
      <c r="F655" s="8" t="s">
        <v>18</v>
      </c>
      <c r="G655" s="8" t="s">
        <v>57</v>
      </c>
      <c r="H655" s="8" t="s">
        <v>58</v>
      </c>
      <c r="I655" s="8" t="s">
        <v>151</v>
      </c>
      <c r="J655" s="11">
        <v>1</v>
      </c>
      <c r="K655" s="12">
        <v>6000</v>
      </c>
      <c r="L655" s="12">
        <f t="shared" si="30"/>
        <v>6000</v>
      </c>
      <c r="M655" s="13">
        <v>0</v>
      </c>
      <c r="N655" s="12">
        <f t="shared" si="31"/>
        <v>0</v>
      </c>
      <c r="O655" s="12">
        <f t="shared" si="32"/>
        <v>6000</v>
      </c>
    </row>
    <row r="656" spans="1:15">
      <c r="A656" s="2" t="s">
        <v>868</v>
      </c>
      <c r="B656" s="3">
        <v>45377</v>
      </c>
      <c r="C656" s="4">
        <v>2024</v>
      </c>
      <c r="D656" s="2" t="s">
        <v>78</v>
      </c>
      <c r="E656" s="2" t="s">
        <v>42</v>
      </c>
      <c r="F656" s="2" t="s">
        <v>43</v>
      </c>
      <c r="G656" s="2" t="s">
        <v>64</v>
      </c>
      <c r="H656" s="2" t="s">
        <v>65</v>
      </c>
      <c r="I656" s="2" t="s">
        <v>66</v>
      </c>
      <c r="J656" s="5">
        <v>1</v>
      </c>
      <c r="K656" s="6">
        <v>2050</v>
      </c>
      <c r="L656" s="6">
        <f t="shared" si="30"/>
        <v>2050</v>
      </c>
      <c r="M656" s="7">
        <v>0</v>
      </c>
      <c r="N656" s="6">
        <f t="shared" si="31"/>
        <v>0</v>
      </c>
      <c r="O656" s="6">
        <f t="shared" si="32"/>
        <v>2050</v>
      </c>
    </row>
    <row r="657" spans="1:15">
      <c r="A657" s="8" t="s">
        <v>869</v>
      </c>
      <c r="B657" s="9">
        <v>45975</v>
      </c>
      <c r="C657" s="10">
        <v>2025</v>
      </c>
      <c r="D657" s="8" t="s">
        <v>41</v>
      </c>
      <c r="E657" s="8" t="s">
        <v>24</v>
      </c>
      <c r="F657" s="8" t="s">
        <v>25</v>
      </c>
      <c r="G657" s="8" t="s">
        <v>64</v>
      </c>
      <c r="H657" s="8" t="s">
        <v>65</v>
      </c>
      <c r="I657" s="8" t="s">
        <v>309</v>
      </c>
      <c r="J657" s="11">
        <v>1</v>
      </c>
      <c r="K657" s="12">
        <v>1350</v>
      </c>
      <c r="L657" s="12">
        <f t="shared" si="30"/>
        <v>1350</v>
      </c>
      <c r="M657" s="13">
        <v>0</v>
      </c>
      <c r="N657" s="12">
        <f t="shared" si="31"/>
        <v>0</v>
      </c>
      <c r="O657" s="12">
        <f t="shared" si="32"/>
        <v>1350</v>
      </c>
    </row>
    <row r="658" spans="1:15">
      <c r="A658" s="2" t="s">
        <v>870</v>
      </c>
      <c r="B658" s="3">
        <v>45974</v>
      </c>
      <c r="C658" s="4">
        <v>2025</v>
      </c>
      <c r="D658" s="2" t="s">
        <v>41</v>
      </c>
      <c r="E658" s="2" t="s">
        <v>24</v>
      </c>
      <c r="F658" s="2" t="s">
        <v>25</v>
      </c>
      <c r="G658" s="2" t="s">
        <v>53</v>
      </c>
      <c r="H658" s="2" t="s">
        <v>193</v>
      </c>
      <c r="I658" s="2" t="s">
        <v>438</v>
      </c>
      <c r="J658" s="5">
        <v>1</v>
      </c>
      <c r="K658" s="6">
        <v>2100</v>
      </c>
      <c r="L658" s="6">
        <f t="shared" si="30"/>
        <v>2100</v>
      </c>
      <c r="M658" s="7">
        <v>0</v>
      </c>
      <c r="N658" s="6">
        <f t="shared" si="31"/>
        <v>0</v>
      </c>
      <c r="O658" s="6">
        <f t="shared" si="32"/>
        <v>2100</v>
      </c>
    </row>
    <row r="659" spans="1:15">
      <c r="A659" s="8" t="s">
        <v>871</v>
      </c>
      <c r="B659" s="9">
        <v>45149</v>
      </c>
      <c r="C659" s="10">
        <v>2023</v>
      </c>
      <c r="D659" s="8" t="s">
        <v>52</v>
      </c>
      <c r="E659" s="8" t="s">
        <v>24</v>
      </c>
      <c r="F659" s="8" t="s">
        <v>25</v>
      </c>
      <c r="G659" s="8" t="s">
        <v>44</v>
      </c>
      <c r="H659" s="8" t="s">
        <v>61</v>
      </c>
      <c r="I659" s="8" t="s">
        <v>348</v>
      </c>
      <c r="J659" s="11">
        <v>12</v>
      </c>
      <c r="K659" s="12">
        <v>900</v>
      </c>
      <c r="L659" s="12">
        <f t="shared" si="30"/>
        <v>10800</v>
      </c>
      <c r="M659" s="13">
        <v>0</v>
      </c>
      <c r="N659" s="12">
        <f t="shared" si="31"/>
        <v>0</v>
      </c>
      <c r="O659" s="12">
        <f t="shared" si="32"/>
        <v>10800</v>
      </c>
    </row>
    <row r="660" spans="1:15">
      <c r="A660" s="2" t="s">
        <v>872</v>
      </c>
      <c r="B660" s="3">
        <v>45983</v>
      </c>
      <c r="C660" s="4">
        <v>2025</v>
      </c>
      <c r="D660" s="2" t="s">
        <v>41</v>
      </c>
      <c r="E660" s="2" t="s">
        <v>35</v>
      </c>
      <c r="F660" s="2" t="s">
        <v>36</v>
      </c>
      <c r="G660" s="2" t="s">
        <v>57</v>
      </c>
      <c r="H660" s="2" t="s">
        <v>75</v>
      </c>
      <c r="I660" s="2" t="s">
        <v>184</v>
      </c>
      <c r="J660" s="5">
        <v>1</v>
      </c>
      <c r="K660" s="6">
        <v>1100</v>
      </c>
      <c r="L660" s="6">
        <f t="shared" si="30"/>
        <v>1100</v>
      </c>
      <c r="M660" s="7">
        <v>0.23899999999999999</v>
      </c>
      <c r="N660" s="6">
        <f t="shared" si="31"/>
        <v>262.89999999999998</v>
      </c>
      <c r="O660" s="6">
        <f t="shared" si="32"/>
        <v>837.1</v>
      </c>
    </row>
    <row r="661" spans="1:15">
      <c r="A661" s="8" t="s">
        <v>873</v>
      </c>
      <c r="B661" s="9">
        <v>45714</v>
      </c>
      <c r="C661" s="10">
        <v>2025</v>
      </c>
      <c r="D661" s="8" t="s">
        <v>23</v>
      </c>
      <c r="E661" s="8" t="s">
        <v>24</v>
      </c>
      <c r="F661" s="8" t="s">
        <v>25</v>
      </c>
      <c r="G661" s="8" t="s">
        <v>37</v>
      </c>
      <c r="H661" s="8" t="s">
        <v>38</v>
      </c>
      <c r="I661" s="8" t="s">
        <v>403</v>
      </c>
      <c r="J661" s="11">
        <v>1</v>
      </c>
      <c r="K661" s="12">
        <v>650</v>
      </c>
      <c r="L661" s="12">
        <f t="shared" si="30"/>
        <v>650</v>
      </c>
      <c r="M661" s="13">
        <v>0</v>
      </c>
      <c r="N661" s="12">
        <f t="shared" si="31"/>
        <v>0</v>
      </c>
      <c r="O661" s="12">
        <f t="shared" si="32"/>
        <v>650</v>
      </c>
    </row>
    <row r="662" spans="1:15">
      <c r="A662" s="2" t="s">
        <v>874</v>
      </c>
      <c r="B662" s="3">
        <v>45154</v>
      </c>
      <c r="C662" s="4">
        <v>2023</v>
      </c>
      <c r="D662" s="2" t="s">
        <v>52</v>
      </c>
      <c r="E662" s="2" t="s">
        <v>35</v>
      </c>
      <c r="F662" s="2" t="s">
        <v>36</v>
      </c>
      <c r="G662" s="2" t="s">
        <v>19</v>
      </c>
      <c r="H662" s="2" t="s">
        <v>271</v>
      </c>
      <c r="I662" s="2" t="s">
        <v>272</v>
      </c>
      <c r="J662" s="5">
        <v>6</v>
      </c>
      <c r="K662" s="6">
        <v>550</v>
      </c>
      <c r="L662" s="6">
        <f t="shared" si="30"/>
        <v>3300</v>
      </c>
      <c r="M662" s="7">
        <v>0</v>
      </c>
      <c r="N662" s="6">
        <f t="shared" si="31"/>
        <v>0</v>
      </c>
      <c r="O662" s="6">
        <f t="shared" si="32"/>
        <v>3300</v>
      </c>
    </row>
    <row r="663" spans="1:15">
      <c r="A663" s="8" t="s">
        <v>875</v>
      </c>
      <c r="B663" s="9">
        <v>44995</v>
      </c>
      <c r="C663" s="10">
        <v>2023</v>
      </c>
      <c r="D663" s="8" t="s">
        <v>78</v>
      </c>
      <c r="E663" s="8" t="s">
        <v>35</v>
      </c>
      <c r="F663" s="8" t="s">
        <v>36</v>
      </c>
      <c r="G663" s="8" t="s">
        <v>19</v>
      </c>
      <c r="H663" s="8" t="s">
        <v>116</v>
      </c>
      <c r="I663" s="8" t="s">
        <v>156</v>
      </c>
      <c r="J663" s="11">
        <v>2</v>
      </c>
      <c r="K663" s="12">
        <v>150</v>
      </c>
      <c r="L663" s="12">
        <f t="shared" si="30"/>
        <v>300</v>
      </c>
      <c r="M663" s="13">
        <v>4.4999999999999998E-2</v>
      </c>
      <c r="N663" s="12">
        <f t="shared" si="31"/>
        <v>13.5</v>
      </c>
      <c r="O663" s="12">
        <f t="shared" si="32"/>
        <v>286.5</v>
      </c>
    </row>
    <row r="664" spans="1:15">
      <c r="A664" s="2" t="s">
        <v>876</v>
      </c>
      <c r="B664" s="3">
        <v>45785</v>
      </c>
      <c r="C664" s="4">
        <v>2025</v>
      </c>
      <c r="D664" s="2" t="s">
        <v>48</v>
      </c>
      <c r="E664" s="2" t="s">
        <v>42</v>
      </c>
      <c r="F664" s="2" t="s">
        <v>43</v>
      </c>
      <c r="G664" s="2" t="s">
        <v>19</v>
      </c>
      <c r="H664" s="2" t="s">
        <v>271</v>
      </c>
      <c r="I664" s="2" t="s">
        <v>571</v>
      </c>
      <c r="J664" s="5">
        <v>1</v>
      </c>
      <c r="K664" s="6">
        <v>290</v>
      </c>
      <c r="L664" s="6">
        <f t="shared" si="30"/>
        <v>290</v>
      </c>
      <c r="M664" s="7">
        <v>5.8999999999999997E-2</v>
      </c>
      <c r="N664" s="6">
        <f t="shared" si="31"/>
        <v>17.11</v>
      </c>
      <c r="O664" s="6">
        <f t="shared" si="32"/>
        <v>272.89</v>
      </c>
    </row>
    <row r="665" spans="1:15">
      <c r="A665" s="8" t="s">
        <v>877</v>
      </c>
      <c r="B665" s="9">
        <v>45245</v>
      </c>
      <c r="C665" s="10">
        <v>2023</v>
      </c>
      <c r="D665" s="8" t="s">
        <v>41</v>
      </c>
      <c r="E665" s="8" t="s">
        <v>42</v>
      </c>
      <c r="F665" s="8" t="s">
        <v>43</v>
      </c>
      <c r="G665" s="8" t="s">
        <v>31</v>
      </c>
      <c r="H665" s="8" t="s">
        <v>124</v>
      </c>
      <c r="I665" s="8" t="s">
        <v>508</v>
      </c>
      <c r="J665" s="11">
        <v>3</v>
      </c>
      <c r="K665" s="12">
        <v>120</v>
      </c>
      <c r="L665" s="12">
        <f t="shared" si="30"/>
        <v>360</v>
      </c>
      <c r="M665" s="13">
        <v>0</v>
      </c>
      <c r="N665" s="12">
        <f t="shared" si="31"/>
        <v>0</v>
      </c>
      <c r="O665" s="12">
        <f t="shared" si="32"/>
        <v>360</v>
      </c>
    </row>
    <row r="666" spans="1:15">
      <c r="A666" s="2" t="s">
        <v>878</v>
      </c>
      <c r="B666" s="3">
        <v>45833</v>
      </c>
      <c r="C666" s="4">
        <v>2025</v>
      </c>
      <c r="D666" s="2" t="s">
        <v>100</v>
      </c>
      <c r="E666" s="2" t="s">
        <v>35</v>
      </c>
      <c r="F666" s="2" t="s">
        <v>36</v>
      </c>
      <c r="G666" s="2" t="s">
        <v>64</v>
      </c>
      <c r="H666" s="2" t="s">
        <v>65</v>
      </c>
      <c r="I666" s="2" t="s">
        <v>73</v>
      </c>
      <c r="J666" s="5">
        <v>1</v>
      </c>
      <c r="K666" s="6">
        <v>4200</v>
      </c>
      <c r="L666" s="6">
        <f t="shared" si="30"/>
        <v>4200</v>
      </c>
      <c r="M666" s="7">
        <v>0</v>
      </c>
      <c r="N666" s="6">
        <f t="shared" si="31"/>
        <v>0</v>
      </c>
      <c r="O666" s="6">
        <f t="shared" si="32"/>
        <v>4200</v>
      </c>
    </row>
    <row r="667" spans="1:15">
      <c r="A667" s="8" t="s">
        <v>879</v>
      </c>
      <c r="B667" s="9">
        <v>45739</v>
      </c>
      <c r="C667" s="10">
        <v>2025</v>
      </c>
      <c r="D667" s="8" t="s">
        <v>78</v>
      </c>
      <c r="E667" s="8" t="s">
        <v>35</v>
      </c>
      <c r="F667" s="8" t="s">
        <v>36</v>
      </c>
      <c r="G667" s="8" t="s">
        <v>37</v>
      </c>
      <c r="H667" s="8" t="s">
        <v>91</v>
      </c>
      <c r="I667" s="8" t="s">
        <v>344</v>
      </c>
      <c r="J667" s="11">
        <v>2</v>
      </c>
      <c r="K667" s="12">
        <v>2000</v>
      </c>
      <c r="L667" s="12">
        <f t="shared" si="30"/>
        <v>4000</v>
      </c>
      <c r="M667" s="13">
        <v>8.6999999999999994E-2</v>
      </c>
      <c r="N667" s="12">
        <f t="shared" si="31"/>
        <v>348</v>
      </c>
      <c r="O667" s="12">
        <f t="shared" si="32"/>
        <v>3652</v>
      </c>
    </row>
    <row r="668" spans="1:15">
      <c r="A668" s="2" t="s">
        <v>880</v>
      </c>
      <c r="B668" s="3">
        <v>45534</v>
      </c>
      <c r="C668" s="4">
        <v>2024</v>
      </c>
      <c r="D668" s="2" t="s">
        <v>52</v>
      </c>
      <c r="E668" s="2" t="s">
        <v>24</v>
      </c>
      <c r="F668" s="2" t="s">
        <v>25</v>
      </c>
      <c r="G668" s="2" t="s">
        <v>26</v>
      </c>
      <c r="H668" s="2" t="s">
        <v>101</v>
      </c>
      <c r="I668" s="2" t="s">
        <v>235</v>
      </c>
      <c r="J668" s="5">
        <v>1</v>
      </c>
      <c r="K668" s="6">
        <v>1550</v>
      </c>
      <c r="L668" s="6">
        <f t="shared" si="30"/>
        <v>1550</v>
      </c>
      <c r="M668" s="7">
        <v>0</v>
      </c>
      <c r="N668" s="6">
        <f t="shared" si="31"/>
        <v>0</v>
      </c>
      <c r="O668" s="6">
        <f t="shared" si="32"/>
        <v>1550</v>
      </c>
    </row>
    <row r="669" spans="1:15">
      <c r="A669" s="8" t="s">
        <v>881</v>
      </c>
      <c r="B669" s="9">
        <v>45561</v>
      </c>
      <c r="C669" s="10">
        <v>2024</v>
      </c>
      <c r="D669" s="8" t="s">
        <v>123</v>
      </c>
      <c r="E669" s="8" t="s">
        <v>24</v>
      </c>
      <c r="F669" s="8" t="s">
        <v>25</v>
      </c>
      <c r="G669" s="8" t="s">
        <v>31</v>
      </c>
      <c r="H669" s="8" t="s">
        <v>81</v>
      </c>
      <c r="I669" s="8" t="s">
        <v>148</v>
      </c>
      <c r="J669" s="11">
        <v>4</v>
      </c>
      <c r="K669" s="12">
        <v>1100</v>
      </c>
      <c r="L669" s="12">
        <f t="shared" si="30"/>
        <v>4400</v>
      </c>
      <c r="M669" s="13">
        <v>0</v>
      </c>
      <c r="N669" s="12">
        <f t="shared" si="31"/>
        <v>0</v>
      </c>
      <c r="O669" s="12">
        <f t="shared" si="32"/>
        <v>4400</v>
      </c>
    </row>
    <row r="670" spans="1:15">
      <c r="A670" s="2" t="s">
        <v>882</v>
      </c>
      <c r="B670" s="3">
        <v>45083</v>
      </c>
      <c r="C670" s="4">
        <v>2023</v>
      </c>
      <c r="D670" s="2" t="s">
        <v>100</v>
      </c>
      <c r="E670" s="2" t="s">
        <v>17</v>
      </c>
      <c r="F670" s="2" t="s">
        <v>18</v>
      </c>
      <c r="G670" s="2" t="s">
        <v>64</v>
      </c>
      <c r="H670" s="2" t="s">
        <v>94</v>
      </c>
      <c r="I670" s="2" t="s">
        <v>601</v>
      </c>
      <c r="J670" s="5">
        <v>1</v>
      </c>
      <c r="K670" s="6">
        <v>1350</v>
      </c>
      <c r="L670" s="6">
        <f t="shared" si="30"/>
        <v>1350</v>
      </c>
      <c r="M670" s="7">
        <v>0.23499999999999999</v>
      </c>
      <c r="N670" s="6">
        <f t="shared" si="31"/>
        <v>317.25</v>
      </c>
      <c r="O670" s="6">
        <f t="shared" si="32"/>
        <v>1032.75</v>
      </c>
    </row>
    <row r="671" spans="1:15">
      <c r="A671" s="8" t="s">
        <v>883</v>
      </c>
      <c r="B671" s="9">
        <v>45762</v>
      </c>
      <c r="C671" s="10">
        <v>2025</v>
      </c>
      <c r="D671" s="8" t="s">
        <v>30</v>
      </c>
      <c r="E671" s="8" t="s">
        <v>17</v>
      </c>
      <c r="F671" s="8" t="s">
        <v>18</v>
      </c>
      <c r="G671" s="8" t="s">
        <v>19</v>
      </c>
      <c r="H671" s="8" t="s">
        <v>69</v>
      </c>
      <c r="I671" s="8" t="s">
        <v>248</v>
      </c>
      <c r="J671" s="11">
        <v>1</v>
      </c>
      <c r="K671" s="12">
        <v>1350</v>
      </c>
      <c r="L671" s="12">
        <f t="shared" si="30"/>
        <v>1350</v>
      </c>
      <c r="M671" s="13">
        <v>0</v>
      </c>
      <c r="N671" s="12">
        <f t="shared" si="31"/>
        <v>0</v>
      </c>
      <c r="O671" s="12">
        <f t="shared" si="32"/>
        <v>1350</v>
      </c>
    </row>
    <row r="672" spans="1:15">
      <c r="A672" s="2" t="s">
        <v>884</v>
      </c>
      <c r="B672" s="3">
        <v>45817</v>
      </c>
      <c r="C672" s="4">
        <v>2025</v>
      </c>
      <c r="D672" s="2" t="s">
        <v>100</v>
      </c>
      <c r="E672" s="2" t="s">
        <v>24</v>
      </c>
      <c r="F672" s="2" t="s">
        <v>25</v>
      </c>
      <c r="G672" s="2" t="s">
        <v>26</v>
      </c>
      <c r="H672" s="2" t="s">
        <v>110</v>
      </c>
      <c r="I672" s="2" t="s">
        <v>214</v>
      </c>
      <c r="J672" s="5">
        <v>1</v>
      </c>
      <c r="K672" s="6">
        <v>1850</v>
      </c>
      <c r="L672" s="6">
        <f t="shared" si="30"/>
        <v>1850</v>
      </c>
      <c r="M672" s="7">
        <v>0</v>
      </c>
      <c r="N672" s="6">
        <f t="shared" si="31"/>
        <v>0</v>
      </c>
      <c r="O672" s="6">
        <f t="shared" si="32"/>
        <v>1850</v>
      </c>
    </row>
    <row r="673" spans="1:15">
      <c r="A673" s="8" t="s">
        <v>885</v>
      </c>
      <c r="B673" s="9">
        <v>45461</v>
      </c>
      <c r="C673" s="10">
        <v>2024</v>
      </c>
      <c r="D673" s="8" t="s">
        <v>100</v>
      </c>
      <c r="E673" s="8" t="s">
        <v>42</v>
      </c>
      <c r="F673" s="8" t="s">
        <v>43</v>
      </c>
      <c r="G673" s="8" t="s">
        <v>64</v>
      </c>
      <c r="H673" s="8" t="s">
        <v>127</v>
      </c>
      <c r="I673" s="8" t="s">
        <v>255</v>
      </c>
      <c r="J673" s="11">
        <v>2</v>
      </c>
      <c r="K673" s="12">
        <v>2850</v>
      </c>
      <c r="L673" s="12">
        <f t="shared" si="30"/>
        <v>5700</v>
      </c>
      <c r="M673" s="13">
        <v>0</v>
      </c>
      <c r="N673" s="12">
        <f t="shared" si="31"/>
        <v>0</v>
      </c>
      <c r="O673" s="12">
        <f t="shared" si="32"/>
        <v>5700</v>
      </c>
    </row>
    <row r="674" spans="1:15">
      <c r="A674" s="2" t="s">
        <v>886</v>
      </c>
      <c r="B674" s="3">
        <v>45293</v>
      </c>
      <c r="C674" s="4">
        <v>2024</v>
      </c>
      <c r="D674" s="2" t="s">
        <v>169</v>
      </c>
      <c r="E674" s="2" t="s">
        <v>17</v>
      </c>
      <c r="F674" s="2" t="s">
        <v>18</v>
      </c>
      <c r="G674" s="2" t="s">
        <v>26</v>
      </c>
      <c r="H674" s="2" t="s">
        <v>27</v>
      </c>
      <c r="I674" s="2" t="s">
        <v>196</v>
      </c>
      <c r="J674" s="5">
        <v>1</v>
      </c>
      <c r="K674" s="6">
        <v>75500</v>
      </c>
      <c r="L674" s="6">
        <f t="shared" si="30"/>
        <v>75500</v>
      </c>
      <c r="M674" s="7">
        <v>0</v>
      </c>
      <c r="N674" s="6">
        <f t="shared" si="31"/>
        <v>0</v>
      </c>
      <c r="O674" s="6">
        <f t="shared" si="32"/>
        <v>75500</v>
      </c>
    </row>
    <row r="675" spans="1:15">
      <c r="A675" s="8" t="s">
        <v>887</v>
      </c>
      <c r="B675" s="9">
        <v>45125</v>
      </c>
      <c r="C675" s="10">
        <v>2023</v>
      </c>
      <c r="D675" s="8" t="s">
        <v>68</v>
      </c>
      <c r="E675" s="8" t="s">
        <v>35</v>
      </c>
      <c r="F675" s="8" t="s">
        <v>36</v>
      </c>
      <c r="G675" s="8" t="s">
        <v>26</v>
      </c>
      <c r="H675" s="8" t="s">
        <v>101</v>
      </c>
      <c r="I675" s="8" t="s">
        <v>235</v>
      </c>
      <c r="J675" s="11">
        <v>1</v>
      </c>
      <c r="K675" s="12">
        <v>26000</v>
      </c>
      <c r="L675" s="12">
        <f t="shared" si="30"/>
        <v>26000</v>
      </c>
      <c r="M675" s="13">
        <v>0</v>
      </c>
      <c r="N675" s="12">
        <f t="shared" si="31"/>
        <v>0</v>
      </c>
      <c r="O675" s="12">
        <f t="shared" si="32"/>
        <v>26000</v>
      </c>
    </row>
    <row r="676" spans="1:15">
      <c r="A676" s="2" t="s">
        <v>888</v>
      </c>
      <c r="B676" s="3">
        <v>44929</v>
      </c>
      <c r="C676" s="4">
        <v>2023</v>
      </c>
      <c r="D676" s="2" t="s">
        <v>169</v>
      </c>
      <c r="E676" s="2" t="s">
        <v>35</v>
      </c>
      <c r="F676" s="2" t="s">
        <v>36</v>
      </c>
      <c r="G676" s="2" t="s">
        <v>19</v>
      </c>
      <c r="H676" s="2" t="s">
        <v>107</v>
      </c>
      <c r="I676" s="2" t="s">
        <v>146</v>
      </c>
      <c r="J676" s="5">
        <v>6</v>
      </c>
      <c r="K676" s="6">
        <v>1800</v>
      </c>
      <c r="L676" s="6">
        <f t="shared" si="30"/>
        <v>10800</v>
      </c>
      <c r="M676" s="7">
        <v>0</v>
      </c>
      <c r="N676" s="6">
        <f t="shared" si="31"/>
        <v>0</v>
      </c>
      <c r="O676" s="6">
        <f t="shared" si="32"/>
        <v>10800</v>
      </c>
    </row>
    <row r="677" spans="1:15">
      <c r="A677" s="8" t="s">
        <v>889</v>
      </c>
      <c r="B677" s="9">
        <v>45402</v>
      </c>
      <c r="C677" s="10">
        <v>2024</v>
      </c>
      <c r="D677" s="8" t="s">
        <v>30</v>
      </c>
      <c r="E677" s="8" t="s">
        <v>17</v>
      </c>
      <c r="F677" s="8" t="s">
        <v>18</v>
      </c>
      <c r="G677" s="8" t="s">
        <v>19</v>
      </c>
      <c r="H677" s="8" t="s">
        <v>107</v>
      </c>
      <c r="I677" s="8" t="s">
        <v>108</v>
      </c>
      <c r="J677" s="11">
        <v>4</v>
      </c>
      <c r="K677" s="12">
        <v>1700</v>
      </c>
      <c r="L677" s="12">
        <f t="shared" si="30"/>
        <v>6800</v>
      </c>
      <c r="M677" s="13">
        <v>0</v>
      </c>
      <c r="N677" s="12">
        <f t="shared" si="31"/>
        <v>0</v>
      </c>
      <c r="O677" s="12">
        <f t="shared" si="32"/>
        <v>6800</v>
      </c>
    </row>
    <row r="678" spans="1:15">
      <c r="A678" s="2" t="s">
        <v>890</v>
      </c>
      <c r="B678" s="3">
        <v>46022</v>
      </c>
      <c r="C678" s="4">
        <v>2025</v>
      </c>
      <c r="D678" s="2" t="s">
        <v>16</v>
      </c>
      <c r="E678" s="2" t="s">
        <v>24</v>
      </c>
      <c r="F678" s="2" t="s">
        <v>25</v>
      </c>
      <c r="G678" s="2" t="s">
        <v>37</v>
      </c>
      <c r="H678" s="2" t="s">
        <v>104</v>
      </c>
      <c r="I678" s="2" t="s">
        <v>623</v>
      </c>
      <c r="J678" s="5">
        <v>2</v>
      </c>
      <c r="K678" s="6">
        <v>3600</v>
      </c>
      <c r="L678" s="6">
        <f t="shared" si="30"/>
        <v>7200</v>
      </c>
      <c r="M678" s="7">
        <v>2.8000000000000001E-2</v>
      </c>
      <c r="N678" s="6">
        <f t="shared" si="31"/>
        <v>201.6</v>
      </c>
      <c r="O678" s="6">
        <f t="shared" si="32"/>
        <v>6998.4</v>
      </c>
    </row>
    <row r="679" spans="1:15">
      <c r="A679" s="8" t="s">
        <v>891</v>
      </c>
      <c r="B679" s="9">
        <v>45048</v>
      </c>
      <c r="C679" s="10">
        <v>2023</v>
      </c>
      <c r="D679" s="8" t="s">
        <v>48</v>
      </c>
      <c r="E679" s="8" t="s">
        <v>24</v>
      </c>
      <c r="F679" s="8" t="s">
        <v>25</v>
      </c>
      <c r="G679" s="8" t="s">
        <v>26</v>
      </c>
      <c r="H679" s="8" t="s">
        <v>110</v>
      </c>
      <c r="I679" s="8" t="s">
        <v>330</v>
      </c>
      <c r="J679" s="11">
        <v>1</v>
      </c>
      <c r="K679" s="12">
        <v>63500</v>
      </c>
      <c r="L679" s="12">
        <f t="shared" si="30"/>
        <v>63500</v>
      </c>
      <c r="M679" s="13">
        <v>0</v>
      </c>
      <c r="N679" s="12">
        <f t="shared" si="31"/>
        <v>0</v>
      </c>
      <c r="O679" s="12">
        <f t="shared" si="32"/>
        <v>63500</v>
      </c>
    </row>
    <row r="680" spans="1:15">
      <c r="A680" s="2" t="s">
        <v>892</v>
      </c>
      <c r="B680" s="3">
        <v>45894</v>
      </c>
      <c r="C680" s="4">
        <v>2025</v>
      </c>
      <c r="D680" s="2" t="s">
        <v>52</v>
      </c>
      <c r="E680" s="2" t="s">
        <v>17</v>
      </c>
      <c r="F680" s="2" t="s">
        <v>18</v>
      </c>
      <c r="G680" s="2" t="s">
        <v>19</v>
      </c>
      <c r="H680" s="2" t="s">
        <v>69</v>
      </c>
      <c r="I680" s="2" t="s">
        <v>248</v>
      </c>
      <c r="J680" s="5">
        <v>8</v>
      </c>
      <c r="K680" s="6">
        <v>460</v>
      </c>
      <c r="L680" s="6">
        <f t="shared" si="30"/>
        <v>3680</v>
      </c>
      <c r="M680" s="7">
        <v>0</v>
      </c>
      <c r="N680" s="6">
        <f t="shared" si="31"/>
        <v>0</v>
      </c>
      <c r="O680" s="6">
        <f t="shared" si="32"/>
        <v>3680</v>
      </c>
    </row>
    <row r="681" spans="1:15">
      <c r="A681" s="8" t="s">
        <v>893</v>
      </c>
      <c r="B681" s="9">
        <v>45854</v>
      </c>
      <c r="C681" s="10">
        <v>2025</v>
      </c>
      <c r="D681" s="8" t="s">
        <v>68</v>
      </c>
      <c r="E681" s="8" t="s">
        <v>24</v>
      </c>
      <c r="F681" s="8" t="s">
        <v>25</v>
      </c>
      <c r="G681" s="8" t="s">
        <v>31</v>
      </c>
      <c r="H681" s="8" t="s">
        <v>81</v>
      </c>
      <c r="I681" s="8" t="s">
        <v>181</v>
      </c>
      <c r="J681" s="11">
        <v>1</v>
      </c>
      <c r="K681" s="12">
        <v>500</v>
      </c>
      <c r="L681" s="12">
        <f t="shared" si="30"/>
        <v>500</v>
      </c>
      <c r="M681" s="13">
        <v>0</v>
      </c>
      <c r="N681" s="12">
        <f t="shared" si="31"/>
        <v>0</v>
      </c>
      <c r="O681" s="12">
        <f t="shared" si="32"/>
        <v>500</v>
      </c>
    </row>
    <row r="682" spans="1:15">
      <c r="A682" s="2" t="s">
        <v>894</v>
      </c>
      <c r="B682" s="3">
        <v>45692</v>
      </c>
      <c r="C682" s="4">
        <v>2025</v>
      </c>
      <c r="D682" s="2" t="s">
        <v>23</v>
      </c>
      <c r="E682" s="2" t="s">
        <v>17</v>
      </c>
      <c r="F682" s="2" t="s">
        <v>18</v>
      </c>
      <c r="G682" s="2" t="s">
        <v>26</v>
      </c>
      <c r="H682" s="2" t="s">
        <v>113</v>
      </c>
      <c r="I682" s="2" t="s">
        <v>332</v>
      </c>
      <c r="J682" s="5">
        <v>1</v>
      </c>
      <c r="K682" s="6">
        <v>29500</v>
      </c>
      <c r="L682" s="6">
        <f t="shared" si="30"/>
        <v>29500</v>
      </c>
      <c r="M682" s="7">
        <v>0</v>
      </c>
      <c r="N682" s="6">
        <f t="shared" si="31"/>
        <v>0</v>
      </c>
      <c r="O682" s="6">
        <f t="shared" si="32"/>
        <v>29500</v>
      </c>
    </row>
    <row r="683" spans="1:15">
      <c r="A683" s="8" t="s">
        <v>895</v>
      </c>
      <c r="B683" s="9">
        <v>45269</v>
      </c>
      <c r="C683" s="10">
        <v>2023</v>
      </c>
      <c r="D683" s="8" t="s">
        <v>16</v>
      </c>
      <c r="E683" s="8" t="s">
        <v>24</v>
      </c>
      <c r="F683" s="8" t="s">
        <v>25</v>
      </c>
      <c r="G683" s="8" t="s">
        <v>19</v>
      </c>
      <c r="H683" s="8" t="s">
        <v>107</v>
      </c>
      <c r="I683" s="8" t="s">
        <v>108</v>
      </c>
      <c r="J683" s="11">
        <v>2</v>
      </c>
      <c r="K683" s="12">
        <v>1050</v>
      </c>
      <c r="L683" s="12">
        <f t="shared" si="30"/>
        <v>2100</v>
      </c>
      <c r="M683" s="13">
        <v>0</v>
      </c>
      <c r="N683" s="12">
        <f t="shared" si="31"/>
        <v>0</v>
      </c>
      <c r="O683" s="12">
        <f t="shared" si="32"/>
        <v>2100</v>
      </c>
    </row>
    <row r="684" spans="1:15">
      <c r="A684" s="2" t="s">
        <v>896</v>
      </c>
      <c r="B684" s="3">
        <v>45016</v>
      </c>
      <c r="C684" s="4">
        <v>2023</v>
      </c>
      <c r="D684" s="2" t="s">
        <v>78</v>
      </c>
      <c r="E684" s="2" t="s">
        <v>42</v>
      </c>
      <c r="F684" s="2" t="s">
        <v>43</v>
      </c>
      <c r="G684" s="2" t="s">
        <v>44</v>
      </c>
      <c r="H684" s="2" t="s">
        <v>176</v>
      </c>
      <c r="I684" s="2" t="s">
        <v>177</v>
      </c>
      <c r="J684" s="5">
        <v>4</v>
      </c>
      <c r="K684" s="6">
        <v>260</v>
      </c>
      <c r="L684" s="6">
        <f t="shared" si="30"/>
        <v>1040</v>
      </c>
      <c r="M684" s="7">
        <v>5.3999999999999999E-2</v>
      </c>
      <c r="N684" s="6">
        <f t="shared" si="31"/>
        <v>56.16</v>
      </c>
      <c r="O684" s="6">
        <f t="shared" si="32"/>
        <v>983.84</v>
      </c>
    </row>
    <row r="685" spans="1:15">
      <c r="A685" s="8" t="s">
        <v>897</v>
      </c>
      <c r="B685" s="9">
        <v>45536</v>
      </c>
      <c r="C685" s="10">
        <v>2024</v>
      </c>
      <c r="D685" s="8" t="s">
        <v>123</v>
      </c>
      <c r="E685" s="8" t="s">
        <v>42</v>
      </c>
      <c r="F685" s="8" t="s">
        <v>43</v>
      </c>
      <c r="G685" s="8" t="s">
        <v>44</v>
      </c>
      <c r="H685" s="8" t="s">
        <v>176</v>
      </c>
      <c r="I685" s="8" t="s">
        <v>525</v>
      </c>
      <c r="J685" s="11">
        <v>6</v>
      </c>
      <c r="K685" s="12">
        <v>1500</v>
      </c>
      <c r="L685" s="12">
        <f t="shared" si="30"/>
        <v>9000</v>
      </c>
      <c r="M685" s="13">
        <v>6.4000000000000001E-2</v>
      </c>
      <c r="N685" s="12">
        <f t="shared" si="31"/>
        <v>576</v>
      </c>
      <c r="O685" s="12">
        <f t="shared" si="32"/>
        <v>8424</v>
      </c>
    </row>
    <row r="686" spans="1:15">
      <c r="A686" s="2" t="s">
        <v>898</v>
      </c>
      <c r="B686" s="3">
        <v>45864</v>
      </c>
      <c r="C686" s="4">
        <v>2025</v>
      </c>
      <c r="D686" s="2" t="s">
        <v>68</v>
      </c>
      <c r="E686" s="2" t="s">
        <v>42</v>
      </c>
      <c r="F686" s="2" t="s">
        <v>43</v>
      </c>
      <c r="G686" s="2" t="s">
        <v>19</v>
      </c>
      <c r="H686" s="2" t="s">
        <v>271</v>
      </c>
      <c r="I686" s="2" t="s">
        <v>571</v>
      </c>
      <c r="J686" s="5">
        <v>6</v>
      </c>
      <c r="K686" s="6">
        <v>600</v>
      </c>
      <c r="L686" s="6">
        <f t="shared" si="30"/>
        <v>3600</v>
      </c>
      <c r="M686" s="7">
        <v>0</v>
      </c>
      <c r="N686" s="6">
        <f t="shared" si="31"/>
        <v>0</v>
      </c>
      <c r="O686" s="6">
        <f t="shared" si="32"/>
        <v>3600</v>
      </c>
    </row>
    <row r="687" spans="1:15">
      <c r="A687" s="8" t="s">
        <v>899</v>
      </c>
      <c r="B687" s="9">
        <v>45839</v>
      </c>
      <c r="C687" s="10">
        <v>2025</v>
      </c>
      <c r="D687" s="8" t="s">
        <v>68</v>
      </c>
      <c r="E687" s="8" t="s">
        <v>42</v>
      </c>
      <c r="F687" s="8" t="s">
        <v>43</v>
      </c>
      <c r="G687" s="8" t="s">
        <v>37</v>
      </c>
      <c r="H687" s="8" t="s">
        <v>91</v>
      </c>
      <c r="I687" s="8" t="s">
        <v>430</v>
      </c>
      <c r="J687" s="11">
        <v>2</v>
      </c>
      <c r="K687" s="12">
        <v>600</v>
      </c>
      <c r="L687" s="12">
        <f t="shared" si="30"/>
        <v>1200</v>
      </c>
      <c r="M687" s="13">
        <v>0</v>
      </c>
      <c r="N687" s="12">
        <f t="shared" si="31"/>
        <v>0</v>
      </c>
      <c r="O687" s="12">
        <f t="shared" si="32"/>
        <v>1200</v>
      </c>
    </row>
    <row r="688" spans="1:15">
      <c r="A688" s="2" t="s">
        <v>900</v>
      </c>
      <c r="B688" s="3">
        <v>45826</v>
      </c>
      <c r="C688" s="4">
        <v>2025</v>
      </c>
      <c r="D688" s="2" t="s">
        <v>100</v>
      </c>
      <c r="E688" s="2" t="s">
        <v>35</v>
      </c>
      <c r="F688" s="2" t="s">
        <v>36</v>
      </c>
      <c r="G688" s="2" t="s">
        <v>31</v>
      </c>
      <c r="H688" s="2" t="s">
        <v>124</v>
      </c>
      <c r="I688" s="2" t="s">
        <v>188</v>
      </c>
      <c r="J688" s="5">
        <v>5</v>
      </c>
      <c r="K688" s="6">
        <v>250</v>
      </c>
      <c r="L688" s="6">
        <f t="shared" si="30"/>
        <v>1250</v>
      </c>
      <c r="M688" s="7">
        <v>0</v>
      </c>
      <c r="N688" s="6">
        <f t="shared" si="31"/>
        <v>0</v>
      </c>
      <c r="O688" s="6">
        <f t="shared" si="32"/>
        <v>1250</v>
      </c>
    </row>
    <row r="689" spans="1:15">
      <c r="A689" s="8" t="s">
        <v>901</v>
      </c>
      <c r="B689" s="9">
        <v>45714</v>
      </c>
      <c r="C689" s="10">
        <v>2025</v>
      </c>
      <c r="D689" s="8" t="s">
        <v>23</v>
      </c>
      <c r="E689" s="8" t="s">
        <v>42</v>
      </c>
      <c r="F689" s="8" t="s">
        <v>43</v>
      </c>
      <c r="G689" s="8" t="s">
        <v>57</v>
      </c>
      <c r="H689" s="8" t="s">
        <v>75</v>
      </c>
      <c r="I689" s="8" t="s">
        <v>144</v>
      </c>
      <c r="J689" s="11">
        <v>1</v>
      </c>
      <c r="K689" s="12">
        <v>5500</v>
      </c>
      <c r="L689" s="12">
        <f t="shared" si="30"/>
        <v>5500</v>
      </c>
      <c r="M689" s="13">
        <v>0</v>
      </c>
      <c r="N689" s="12">
        <f t="shared" si="31"/>
        <v>0</v>
      </c>
      <c r="O689" s="12">
        <f t="shared" si="32"/>
        <v>5500</v>
      </c>
    </row>
    <row r="690" spans="1:15">
      <c r="A690" s="2" t="s">
        <v>902</v>
      </c>
      <c r="B690" s="3">
        <v>45265</v>
      </c>
      <c r="C690" s="4">
        <v>2023</v>
      </c>
      <c r="D690" s="2" t="s">
        <v>16</v>
      </c>
      <c r="E690" s="2" t="s">
        <v>35</v>
      </c>
      <c r="F690" s="2" t="s">
        <v>36</v>
      </c>
      <c r="G690" s="2" t="s">
        <v>26</v>
      </c>
      <c r="H690" s="2" t="s">
        <v>101</v>
      </c>
      <c r="I690" s="2" t="s">
        <v>399</v>
      </c>
      <c r="J690" s="5">
        <v>1</v>
      </c>
      <c r="K690" s="6">
        <v>50000</v>
      </c>
      <c r="L690" s="6">
        <f t="shared" si="30"/>
        <v>50000</v>
      </c>
      <c r="M690" s="7">
        <v>0</v>
      </c>
      <c r="N690" s="6">
        <f t="shared" si="31"/>
        <v>0</v>
      </c>
      <c r="O690" s="6">
        <f t="shared" si="32"/>
        <v>50000</v>
      </c>
    </row>
    <row r="691" spans="1:15">
      <c r="A691" s="8" t="s">
        <v>903</v>
      </c>
      <c r="B691" s="9">
        <v>44956</v>
      </c>
      <c r="C691" s="10">
        <v>2023</v>
      </c>
      <c r="D691" s="8" t="s">
        <v>169</v>
      </c>
      <c r="E691" s="8" t="s">
        <v>42</v>
      </c>
      <c r="F691" s="8" t="s">
        <v>43</v>
      </c>
      <c r="G691" s="8" t="s">
        <v>26</v>
      </c>
      <c r="H691" s="8" t="s">
        <v>101</v>
      </c>
      <c r="I691" s="8" t="s">
        <v>102</v>
      </c>
      <c r="J691" s="11">
        <v>2</v>
      </c>
      <c r="K691" s="12">
        <v>22500</v>
      </c>
      <c r="L691" s="12">
        <f t="shared" si="30"/>
        <v>45000</v>
      </c>
      <c r="M691" s="13">
        <v>0</v>
      </c>
      <c r="N691" s="12">
        <f t="shared" si="31"/>
        <v>0</v>
      </c>
      <c r="O691" s="12">
        <f t="shared" si="32"/>
        <v>45000</v>
      </c>
    </row>
    <row r="692" spans="1:15">
      <c r="A692" s="2" t="s">
        <v>904</v>
      </c>
      <c r="B692" s="3">
        <v>45000</v>
      </c>
      <c r="C692" s="4">
        <v>2023</v>
      </c>
      <c r="D692" s="2" t="s">
        <v>78</v>
      </c>
      <c r="E692" s="2" t="s">
        <v>17</v>
      </c>
      <c r="F692" s="2" t="s">
        <v>18</v>
      </c>
      <c r="G692" s="2" t="s">
        <v>64</v>
      </c>
      <c r="H692" s="2" t="s">
        <v>65</v>
      </c>
      <c r="I692" s="2" t="s">
        <v>73</v>
      </c>
      <c r="J692" s="5">
        <v>1</v>
      </c>
      <c r="K692" s="6">
        <v>4500</v>
      </c>
      <c r="L692" s="6">
        <f t="shared" si="30"/>
        <v>4500</v>
      </c>
      <c r="M692" s="7">
        <v>0.17299999999999999</v>
      </c>
      <c r="N692" s="6">
        <f t="shared" si="31"/>
        <v>778.49999999999989</v>
      </c>
      <c r="O692" s="6">
        <f t="shared" si="32"/>
        <v>3721.5</v>
      </c>
    </row>
    <row r="693" spans="1:15">
      <c r="A693" s="8" t="s">
        <v>905</v>
      </c>
      <c r="B693" s="9">
        <v>45357</v>
      </c>
      <c r="C693" s="10">
        <v>2024</v>
      </c>
      <c r="D693" s="8" t="s">
        <v>78</v>
      </c>
      <c r="E693" s="8" t="s">
        <v>42</v>
      </c>
      <c r="F693" s="8" t="s">
        <v>43</v>
      </c>
      <c r="G693" s="8" t="s">
        <v>57</v>
      </c>
      <c r="H693" s="8" t="s">
        <v>58</v>
      </c>
      <c r="I693" s="8" t="s">
        <v>87</v>
      </c>
      <c r="J693" s="11">
        <v>2</v>
      </c>
      <c r="K693" s="12">
        <v>6500</v>
      </c>
      <c r="L693" s="12">
        <f t="shared" si="30"/>
        <v>13000</v>
      </c>
      <c r="M693" s="13">
        <v>0</v>
      </c>
      <c r="N693" s="12">
        <f t="shared" si="31"/>
        <v>0</v>
      </c>
      <c r="O693" s="12">
        <f t="shared" si="32"/>
        <v>13000</v>
      </c>
    </row>
    <row r="694" spans="1:15">
      <c r="A694" s="2" t="s">
        <v>906</v>
      </c>
      <c r="B694" s="3">
        <v>45720</v>
      </c>
      <c r="C694" s="4">
        <v>2025</v>
      </c>
      <c r="D694" s="2" t="s">
        <v>78</v>
      </c>
      <c r="E694" s="2" t="s">
        <v>42</v>
      </c>
      <c r="F694" s="2" t="s">
        <v>43</v>
      </c>
      <c r="G694" s="2" t="s">
        <v>19</v>
      </c>
      <c r="H694" s="2" t="s">
        <v>20</v>
      </c>
      <c r="I694" s="2" t="s">
        <v>21</v>
      </c>
      <c r="J694" s="5">
        <v>1</v>
      </c>
      <c r="K694" s="6">
        <v>140</v>
      </c>
      <c r="L694" s="6">
        <f t="shared" si="30"/>
        <v>140</v>
      </c>
      <c r="M694" s="7">
        <v>0</v>
      </c>
      <c r="N694" s="6">
        <f t="shared" si="31"/>
        <v>0</v>
      </c>
      <c r="O694" s="6">
        <f t="shared" si="32"/>
        <v>140</v>
      </c>
    </row>
    <row r="695" spans="1:15">
      <c r="A695" s="8" t="s">
        <v>907</v>
      </c>
      <c r="B695" s="9">
        <v>45463</v>
      </c>
      <c r="C695" s="10">
        <v>2024</v>
      </c>
      <c r="D695" s="8" t="s">
        <v>100</v>
      </c>
      <c r="E695" s="8" t="s">
        <v>17</v>
      </c>
      <c r="F695" s="8" t="s">
        <v>18</v>
      </c>
      <c r="G695" s="8" t="s">
        <v>64</v>
      </c>
      <c r="H695" s="8" t="s">
        <v>65</v>
      </c>
      <c r="I695" s="8" t="s">
        <v>309</v>
      </c>
      <c r="J695" s="11">
        <v>1</v>
      </c>
      <c r="K695" s="12">
        <v>3850</v>
      </c>
      <c r="L695" s="12">
        <f t="shared" si="30"/>
        <v>3850</v>
      </c>
      <c r="M695" s="13">
        <v>0</v>
      </c>
      <c r="N695" s="12">
        <f t="shared" si="31"/>
        <v>0</v>
      </c>
      <c r="O695" s="12">
        <f t="shared" si="32"/>
        <v>3850</v>
      </c>
    </row>
    <row r="696" spans="1:15">
      <c r="A696" s="2" t="s">
        <v>908</v>
      </c>
      <c r="B696" s="3">
        <v>45352</v>
      </c>
      <c r="C696" s="4">
        <v>2024</v>
      </c>
      <c r="D696" s="2" t="s">
        <v>78</v>
      </c>
      <c r="E696" s="2" t="s">
        <v>42</v>
      </c>
      <c r="F696" s="2" t="s">
        <v>43</v>
      </c>
      <c r="G696" s="2" t="s">
        <v>37</v>
      </c>
      <c r="H696" s="2" t="s">
        <v>91</v>
      </c>
      <c r="I696" s="2" t="s">
        <v>430</v>
      </c>
      <c r="J696" s="5">
        <v>1</v>
      </c>
      <c r="K696" s="6">
        <v>2850</v>
      </c>
      <c r="L696" s="6">
        <f t="shared" si="30"/>
        <v>2850</v>
      </c>
      <c r="M696" s="7">
        <v>2.1000000000000001E-2</v>
      </c>
      <c r="N696" s="6">
        <f t="shared" si="31"/>
        <v>59.85</v>
      </c>
      <c r="O696" s="6">
        <f t="shared" si="32"/>
        <v>2790.15</v>
      </c>
    </row>
    <row r="697" spans="1:15">
      <c r="A697" s="8" t="s">
        <v>909</v>
      </c>
      <c r="B697" s="9">
        <v>45125</v>
      </c>
      <c r="C697" s="10">
        <v>2023</v>
      </c>
      <c r="D697" s="8" t="s">
        <v>68</v>
      </c>
      <c r="E697" s="8" t="s">
        <v>42</v>
      </c>
      <c r="F697" s="8" t="s">
        <v>43</v>
      </c>
      <c r="G697" s="8" t="s">
        <v>53</v>
      </c>
      <c r="H697" s="8" t="s">
        <v>136</v>
      </c>
      <c r="I697" s="8" t="s">
        <v>137</v>
      </c>
      <c r="J697" s="11">
        <v>1</v>
      </c>
      <c r="K697" s="12">
        <v>2800</v>
      </c>
      <c r="L697" s="12">
        <f t="shared" si="30"/>
        <v>2800</v>
      </c>
      <c r="M697" s="13">
        <v>0</v>
      </c>
      <c r="N697" s="12">
        <f t="shared" si="31"/>
        <v>0</v>
      </c>
      <c r="O697" s="12">
        <f t="shared" si="32"/>
        <v>2800</v>
      </c>
    </row>
    <row r="698" spans="1:15">
      <c r="A698" s="2" t="s">
        <v>910</v>
      </c>
      <c r="B698" s="3">
        <v>45198</v>
      </c>
      <c r="C698" s="4">
        <v>2023</v>
      </c>
      <c r="D698" s="2" t="s">
        <v>123</v>
      </c>
      <c r="E698" s="2" t="s">
        <v>17</v>
      </c>
      <c r="F698" s="2" t="s">
        <v>18</v>
      </c>
      <c r="G698" s="2" t="s">
        <v>31</v>
      </c>
      <c r="H698" s="2" t="s">
        <v>124</v>
      </c>
      <c r="I698" s="2" t="s">
        <v>264</v>
      </c>
      <c r="J698" s="5">
        <v>5</v>
      </c>
      <c r="K698" s="6">
        <v>230</v>
      </c>
      <c r="L698" s="6">
        <f t="shared" si="30"/>
        <v>1150</v>
      </c>
      <c r="M698" s="7">
        <v>0</v>
      </c>
      <c r="N698" s="6">
        <f t="shared" si="31"/>
        <v>0</v>
      </c>
      <c r="O698" s="6">
        <f t="shared" si="32"/>
        <v>1150</v>
      </c>
    </row>
    <row r="699" spans="1:15">
      <c r="A699" s="8" t="s">
        <v>911</v>
      </c>
      <c r="B699" s="9">
        <v>45240</v>
      </c>
      <c r="C699" s="10">
        <v>2023</v>
      </c>
      <c r="D699" s="8" t="s">
        <v>41</v>
      </c>
      <c r="E699" s="8" t="s">
        <v>42</v>
      </c>
      <c r="F699" s="8" t="s">
        <v>43</v>
      </c>
      <c r="G699" s="8" t="s">
        <v>19</v>
      </c>
      <c r="H699" s="8" t="s">
        <v>107</v>
      </c>
      <c r="I699" s="8" t="s">
        <v>242</v>
      </c>
      <c r="J699" s="11">
        <v>3</v>
      </c>
      <c r="K699" s="12">
        <v>450</v>
      </c>
      <c r="L699" s="12">
        <f t="shared" si="30"/>
        <v>1350</v>
      </c>
      <c r="M699" s="13">
        <v>5.8000000000000003E-2</v>
      </c>
      <c r="N699" s="12">
        <f t="shared" si="31"/>
        <v>78.3</v>
      </c>
      <c r="O699" s="12">
        <f t="shared" si="32"/>
        <v>1271.7</v>
      </c>
    </row>
    <row r="700" spans="1:15">
      <c r="A700" s="2" t="s">
        <v>912</v>
      </c>
      <c r="B700" s="3">
        <v>45347</v>
      </c>
      <c r="C700" s="4">
        <v>2024</v>
      </c>
      <c r="D700" s="2" t="s">
        <v>23</v>
      </c>
      <c r="E700" s="2" t="s">
        <v>42</v>
      </c>
      <c r="F700" s="2" t="s">
        <v>43</v>
      </c>
      <c r="G700" s="2" t="s">
        <v>26</v>
      </c>
      <c r="H700" s="2" t="s">
        <v>101</v>
      </c>
      <c r="I700" s="2" t="s">
        <v>399</v>
      </c>
      <c r="J700" s="5">
        <v>1</v>
      </c>
      <c r="K700" s="6">
        <v>29000</v>
      </c>
      <c r="L700" s="6">
        <f t="shared" si="30"/>
        <v>29000</v>
      </c>
      <c r="M700" s="7">
        <v>0</v>
      </c>
      <c r="N700" s="6">
        <f t="shared" si="31"/>
        <v>0</v>
      </c>
      <c r="O700" s="6">
        <f t="shared" si="32"/>
        <v>29000</v>
      </c>
    </row>
    <row r="701" spans="1:15">
      <c r="A701" s="8" t="s">
        <v>913</v>
      </c>
      <c r="B701" s="9">
        <v>45099</v>
      </c>
      <c r="C701" s="10">
        <v>2023</v>
      </c>
      <c r="D701" s="8" t="s">
        <v>100</v>
      </c>
      <c r="E701" s="8" t="s">
        <v>17</v>
      </c>
      <c r="F701" s="8" t="s">
        <v>18</v>
      </c>
      <c r="G701" s="8" t="s">
        <v>44</v>
      </c>
      <c r="H701" s="8" t="s">
        <v>223</v>
      </c>
      <c r="I701" s="8" t="s">
        <v>297</v>
      </c>
      <c r="J701" s="11">
        <v>2</v>
      </c>
      <c r="K701" s="12">
        <v>1500</v>
      </c>
      <c r="L701" s="12">
        <f t="shared" si="30"/>
        <v>3000</v>
      </c>
      <c r="M701" s="13">
        <v>0</v>
      </c>
      <c r="N701" s="12">
        <f t="shared" si="31"/>
        <v>0</v>
      </c>
      <c r="O701" s="12">
        <f t="shared" si="32"/>
        <v>3000</v>
      </c>
    </row>
    <row r="702" spans="1:15">
      <c r="A702" s="2" t="s">
        <v>914</v>
      </c>
      <c r="B702" s="3">
        <v>45601</v>
      </c>
      <c r="C702" s="4">
        <v>2024</v>
      </c>
      <c r="D702" s="2" t="s">
        <v>41</v>
      </c>
      <c r="E702" s="2" t="s">
        <v>24</v>
      </c>
      <c r="F702" s="2" t="s">
        <v>25</v>
      </c>
      <c r="G702" s="2" t="s">
        <v>31</v>
      </c>
      <c r="H702" s="2" t="s">
        <v>124</v>
      </c>
      <c r="I702" s="2" t="s">
        <v>188</v>
      </c>
      <c r="J702" s="5">
        <v>4</v>
      </c>
      <c r="K702" s="6">
        <v>430</v>
      </c>
      <c r="L702" s="6">
        <f t="shared" si="30"/>
        <v>1720</v>
      </c>
      <c r="M702" s="7">
        <v>0</v>
      </c>
      <c r="N702" s="6">
        <f t="shared" si="31"/>
        <v>0</v>
      </c>
      <c r="O702" s="6">
        <f t="shared" si="32"/>
        <v>1720</v>
      </c>
    </row>
    <row r="703" spans="1:15">
      <c r="A703" s="8" t="s">
        <v>915</v>
      </c>
      <c r="B703" s="9">
        <v>45661</v>
      </c>
      <c r="C703" s="10">
        <v>2025</v>
      </c>
      <c r="D703" s="8" t="s">
        <v>169</v>
      </c>
      <c r="E703" s="8" t="s">
        <v>24</v>
      </c>
      <c r="F703" s="8" t="s">
        <v>25</v>
      </c>
      <c r="G703" s="8" t="s">
        <v>19</v>
      </c>
      <c r="H703" s="8" t="s">
        <v>116</v>
      </c>
      <c r="I703" s="8" t="s">
        <v>156</v>
      </c>
      <c r="J703" s="11">
        <v>3</v>
      </c>
      <c r="K703" s="12">
        <v>1950</v>
      </c>
      <c r="L703" s="12">
        <f t="shared" si="30"/>
        <v>5850</v>
      </c>
      <c r="M703" s="13">
        <v>6.6000000000000003E-2</v>
      </c>
      <c r="N703" s="12">
        <f t="shared" si="31"/>
        <v>386.1</v>
      </c>
      <c r="O703" s="12">
        <f t="shared" si="32"/>
        <v>5463.9</v>
      </c>
    </row>
    <row r="704" spans="1:15">
      <c r="A704" s="2" t="s">
        <v>916</v>
      </c>
      <c r="B704" s="3">
        <v>45367</v>
      </c>
      <c r="C704" s="4">
        <v>2024</v>
      </c>
      <c r="D704" s="2" t="s">
        <v>78</v>
      </c>
      <c r="E704" s="2" t="s">
        <v>42</v>
      </c>
      <c r="F704" s="2" t="s">
        <v>43</v>
      </c>
      <c r="G704" s="2" t="s">
        <v>53</v>
      </c>
      <c r="H704" s="2" t="s">
        <v>193</v>
      </c>
      <c r="I704" s="2" t="s">
        <v>438</v>
      </c>
      <c r="J704" s="5">
        <v>1</v>
      </c>
      <c r="K704" s="6">
        <v>2800</v>
      </c>
      <c r="L704" s="6">
        <f t="shared" si="30"/>
        <v>2800</v>
      </c>
      <c r="M704" s="7">
        <v>0</v>
      </c>
      <c r="N704" s="6">
        <f t="shared" si="31"/>
        <v>0</v>
      </c>
      <c r="O704" s="6">
        <f t="shared" si="32"/>
        <v>2800</v>
      </c>
    </row>
    <row r="705" spans="1:15">
      <c r="A705" s="8" t="s">
        <v>917</v>
      </c>
      <c r="B705" s="9">
        <v>45669</v>
      </c>
      <c r="C705" s="10">
        <v>2025</v>
      </c>
      <c r="D705" s="8" t="s">
        <v>169</v>
      </c>
      <c r="E705" s="8" t="s">
        <v>17</v>
      </c>
      <c r="F705" s="8" t="s">
        <v>18</v>
      </c>
      <c r="G705" s="8" t="s">
        <v>44</v>
      </c>
      <c r="H705" s="8" t="s">
        <v>176</v>
      </c>
      <c r="I705" s="8" t="s">
        <v>177</v>
      </c>
      <c r="J705" s="11">
        <v>1</v>
      </c>
      <c r="K705" s="12">
        <v>320</v>
      </c>
      <c r="L705" s="12">
        <f t="shared" si="30"/>
        <v>320</v>
      </c>
      <c r="M705" s="13">
        <v>0</v>
      </c>
      <c r="N705" s="12">
        <f t="shared" si="31"/>
        <v>0</v>
      </c>
      <c r="O705" s="12">
        <f t="shared" si="32"/>
        <v>320</v>
      </c>
    </row>
    <row r="706" spans="1:15">
      <c r="A706" s="2" t="s">
        <v>918</v>
      </c>
      <c r="B706" s="3">
        <v>44994</v>
      </c>
      <c r="C706" s="4">
        <v>2023</v>
      </c>
      <c r="D706" s="2" t="s">
        <v>78</v>
      </c>
      <c r="E706" s="2" t="s">
        <v>35</v>
      </c>
      <c r="F706" s="2" t="s">
        <v>36</v>
      </c>
      <c r="G706" s="2" t="s">
        <v>53</v>
      </c>
      <c r="H706" s="2" t="s">
        <v>193</v>
      </c>
      <c r="I706" s="2" t="s">
        <v>334</v>
      </c>
      <c r="J706" s="5">
        <v>1</v>
      </c>
      <c r="K706" s="6">
        <v>850</v>
      </c>
      <c r="L706" s="6">
        <f t="shared" ref="L706:L769" si="33">J706*K706</f>
        <v>850</v>
      </c>
      <c r="M706" s="7">
        <v>5.1999999999999998E-2</v>
      </c>
      <c r="N706" s="6">
        <f t="shared" ref="N706:N769" si="34">L706*M706</f>
        <v>44.199999999999996</v>
      </c>
      <c r="O706" s="6">
        <f t="shared" ref="O706:O769" si="35">L706-N706</f>
        <v>805.8</v>
      </c>
    </row>
    <row r="707" spans="1:15">
      <c r="A707" s="8" t="s">
        <v>919</v>
      </c>
      <c r="B707" s="9">
        <v>45642</v>
      </c>
      <c r="C707" s="10">
        <v>2024</v>
      </c>
      <c r="D707" s="8" t="s">
        <v>16</v>
      </c>
      <c r="E707" s="8" t="s">
        <v>35</v>
      </c>
      <c r="F707" s="8" t="s">
        <v>36</v>
      </c>
      <c r="G707" s="8" t="s">
        <v>37</v>
      </c>
      <c r="H707" s="8" t="s">
        <v>104</v>
      </c>
      <c r="I707" s="8" t="s">
        <v>289</v>
      </c>
      <c r="J707" s="11">
        <v>5</v>
      </c>
      <c r="K707" s="12">
        <v>2000</v>
      </c>
      <c r="L707" s="12">
        <f t="shared" si="33"/>
        <v>10000</v>
      </c>
      <c r="M707" s="13">
        <v>5.5E-2</v>
      </c>
      <c r="N707" s="12">
        <f t="shared" si="34"/>
        <v>550</v>
      </c>
      <c r="O707" s="12">
        <f t="shared" si="35"/>
        <v>9450</v>
      </c>
    </row>
    <row r="708" spans="1:15">
      <c r="A708" s="2" t="s">
        <v>920</v>
      </c>
      <c r="B708" s="3">
        <v>45230</v>
      </c>
      <c r="C708" s="4">
        <v>2023</v>
      </c>
      <c r="D708" s="2" t="s">
        <v>72</v>
      </c>
      <c r="E708" s="2" t="s">
        <v>17</v>
      </c>
      <c r="F708" s="2" t="s">
        <v>18</v>
      </c>
      <c r="G708" s="2" t="s">
        <v>31</v>
      </c>
      <c r="H708" s="2" t="s">
        <v>124</v>
      </c>
      <c r="I708" s="2" t="s">
        <v>125</v>
      </c>
      <c r="J708" s="5">
        <v>2</v>
      </c>
      <c r="K708" s="6">
        <v>500</v>
      </c>
      <c r="L708" s="6">
        <f t="shared" si="33"/>
        <v>1000</v>
      </c>
      <c r="M708" s="7">
        <v>1.4E-2</v>
      </c>
      <c r="N708" s="6">
        <f t="shared" si="34"/>
        <v>14</v>
      </c>
      <c r="O708" s="6">
        <f t="shared" si="35"/>
        <v>986</v>
      </c>
    </row>
    <row r="709" spans="1:15">
      <c r="A709" s="8" t="s">
        <v>921</v>
      </c>
      <c r="B709" s="9">
        <v>45435</v>
      </c>
      <c r="C709" s="10">
        <v>2024</v>
      </c>
      <c r="D709" s="8" t="s">
        <v>48</v>
      </c>
      <c r="E709" s="8" t="s">
        <v>42</v>
      </c>
      <c r="F709" s="8" t="s">
        <v>43</v>
      </c>
      <c r="G709" s="8" t="s">
        <v>44</v>
      </c>
      <c r="H709" s="8" t="s">
        <v>223</v>
      </c>
      <c r="I709" s="8" t="s">
        <v>320</v>
      </c>
      <c r="J709" s="11">
        <v>12</v>
      </c>
      <c r="K709" s="12">
        <v>1450</v>
      </c>
      <c r="L709" s="12">
        <f t="shared" si="33"/>
        <v>17400</v>
      </c>
      <c r="M709" s="13">
        <v>8.4000000000000005E-2</v>
      </c>
      <c r="N709" s="12">
        <f t="shared" si="34"/>
        <v>1461.6000000000001</v>
      </c>
      <c r="O709" s="12">
        <f t="shared" si="35"/>
        <v>15938.4</v>
      </c>
    </row>
    <row r="710" spans="1:15">
      <c r="A710" s="2" t="s">
        <v>922</v>
      </c>
      <c r="B710" s="3">
        <v>45063</v>
      </c>
      <c r="C710" s="4">
        <v>2023</v>
      </c>
      <c r="D710" s="2" t="s">
        <v>48</v>
      </c>
      <c r="E710" s="2" t="s">
        <v>17</v>
      </c>
      <c r="F710" s="2" t="s">
        <v>18</v>
      </c>
      <c r="G710" s="2" t="s">
        <v>19</v>
      </c>
      <c r="H710" s="2" t="s">
        <v>69</v>
      </c>
      <c r="I710" s="2" t="s">
        <v>407</v>
      </c>
      <c r="J710" s="5">
        <v>1</v>
      </c>
      <c r="K710" s="6">
        <v>600</v>
      </c>
      <c r="L710" s="6">
        <f t="shared" si="33"/>
        <v>600</v>
      </c>
      <c r="M710" s="7">
        <v>0</v>
      </c>
      <c r="N710" s="6">
        <f t="shared" si="34"/>
        <v>0</v>
      </c>
      <c r="O710" s="6">
        <f t="shared" si="35"/>
        <v>600</v>
      </c>
    </row>
    <row r="711" spans="1:15">
      <c r="A711" s="8" t="s">
        <v>923</v>
      </c>
      <c r="B711" s="9">
        <v>45628</v>
      </c>
      <c r="C711" s="10">
        <v>2024</v>
      </c>
      <c r="D711" s="8" t="s">
        <v>16</v>
      </c>
      <c r="E711" s="8" t="s">
        <v>35</v>
      </c>
      <c r="F711" s="8" t="s">
        <v>36</v>
      </c>
      <c r="G711" s="8" t="s">
        <v>57</v>
      </c>
      <c r="H711" s="8" t="s">
        <v>75</v>
      </c>
      <c r="I711" s="8" t="s">
        <v>76</v>
      </c>
      <c r="J711" s="11">
        <v>1</v>
      </c>
      <c r="K711" s="12">
        <v>2900</v>
      </c>
      <c r="L711" s="12">
        <f t="shared" si="33"/>
        <v>2900</v>
      </c>
      <c r="M711" s="13">
        <v>0</v>
      </c>
      <c r="N711" s="12">
        <f t="shared" si="34"/>
        <v>0</v>
      </c>
      <c r="O711" s="12">
        <f t="shared" si="35"/>
        <v>2900</v>
      </c>
    </row>
    <row r="712" spans="1:15">
      <c r="A712" s="2" t="s">
        <v>924</v>
      </c>
      <c r="B712" s="3">
        <v>45700</v>
      </c>
      <c r="C712" s="4">
        <v>2025</v>
      </c>
      <c r="D712" s="2" t="s">
        <v>23</v>
      </c>
      <c r="E712" s="2" t="s">
        <v>17</v>
      </c>
      <c r="F712" s="2" t="s">
        <v>18</v>
      </c>
      <c r="G712" s="2" t="s">
        <v>26</v>
      </c>
      <c r="H712" s="2" t="s">
        <v>27</v>
      </c>
      <c r="I712" s="2" t="s">
        <v>336</v>
      </c>
      <c r="J712" s="5">
        <v>1</v>
      </c>
      <c r="K712" s="6">
        <v>75000</v>
      </c>
      <c r="L712" s="6">
        <f t="shared" si="33"/>
        <v>75000</v>
      </c>
      <c r="M712" s="7">
        <v>0.08</v>
      </c>
      <c r="N712" s="6">
        <f t="shared" si="34"/>
        <v>6000</v>
      </c>
      <c r="O712" s="6">
        <f t="shared" si="35"/>
        <v>69000</v>
      </c>
    </row>
    <row r="713" spans="1:15">
      <c r="A713" s="8" t="s">
        <v>925</v>
      </c>
      <c r="B713" s="9">
        <v>45579</v>
      </c>
      <c r="C713" s="10">
        <v>2024</v>
      </c>
      <c r="D713" s="8" t="s">
        <v>72</v>
      </c>
      <c r="E713" s="8" t="s">
        <v>42</v>
      </c>
      <c r="F713" s="8" t="s">
        <v>43</v>
      </c>
      <c r="G713" s="8" t="s">
        <v>26</v>
      </c>
      <c r="H713" s="8" t="s">
        <v>113</v>
      </c>
      <c r="I713" s="8" t="s">
        <v>332</v>
      </c>
      <c r="J713" s="11">
        <v>1</v>
      </c>
      <c r="K713" s="12">
        <v>20000</v>
      </c>
      <c r="L713" s="12">
        <f t="shared" si="33"/>
        <v>20000</v>
      </c>
      <c r="M713" s="13">
        <v>0.08</v>
      </c>
      <c r="N713" s="12">
        <f t="shared" si="34"/>
        <v>1600</v>
      </c>
      <c r="O713" s="12">
        <f t="shared" si="35"/>
        <v>18400</v>
      </c>
    </row>
    <row r="714" spans="1:15">
      <c r="A714" s="2" t="s">
        <v>926</v>
      </c>
      <c r="B714" s="3">
        <v>45378</v>
      </c>
      <c r="C714" s="4">
        <v>2024</v>
      </c>
      <c r="D714" s="2" t="s">
        <v>78</v>
      </c>
      <c r="E714" s="2" t="s">
        <v>42</v>
      </c>
      <c r="F714" s="2" t="s">
        <v>43</v>
      </c>
      <c r="G714" s="2" t="s">
        <v>53</v>
      </c>
      <c r="H714" s="2" t="s">
        <v>54</v>
      </c>
      <c r="I714" s="2" t="s">
        <v>55</v>
      </c>
      <c r="J714" s="5">
        <v>2</v>
      </c>
      <c r="K714" s="6">
        <v>800</v>
      </c>
      <c r="L714" s="6">
        <f t="shared" si="33"/>
        <v>1600</v>
      </c>
      <c r="M714" s="7">
        <v>0</v>
      </c>
      <c r="N714" s="6">
        <f t="shared" si="34"/>
        <v>0</v>
      </c>
      <c r="O714" s="6">
        <f t="shared" si="35"/>
        <v>1600</v>
      </c>
    </row>
    <row r="715" spans="1:15">
      <c r="A715" s="8" t="s">
        <v>927</v>
      </c>
      <c r="B715" s="9">
        <v>45692</v>
      </c>
      <c r="C715" s="10">
        <v>2025</v>
      </c>
      <c r="D715" s="8" t="s">
        <v>23</v>
      </c>
      <c r="E715" s="8" t="s">
        <v>17</v>
      </c>
      <c r="F715" s="8" t="s">
        <v>18</v>
      </c>
      <c r="G715" s="8" t="s">
        <v>26</v>
      </c>
      <c r="H715" s="8" t="s">
        <v>110</v>
      </c>
      <c r="I715" s="8" t="s">
        <v>313</v>
      </c>
      <c r="J715" s="11">
        <v>1</v>
      </c>
      <c r="K715" s="12">
        <v>82500</v>
      </c>
      <c r="L715" s="12">
        <f t="shared" si="33"/>
        <v>82500</v>
      </c>
      <c r="M715" s="13">
        <v>0</v>
      </c>
      <c r="N715" s="12">
        <f t="shared" si="34"/>
        <v>0</v>
      </c>
      <c r="O715" s="12">
        <f t="shared" si="35"/>
        <v>82500</v>
      </c>
    </row>
    <row r="716" spans="1:15">
      <c r="A716" s="2" t="s">
        <v>928</v>
      </c>
      <c r="B716" s="3">
        <v>45121</v>
      </c>
      <c r="C716" s="4">
        <v>2023</v>
      </c>
      <c r="D716" s="2" t="s">
        <v>68</v>
      </c>
      <c r="E716" s="2" t="s">
        <v>35</v>
      </c>
      <c r="F716" s="2" t="s">
        <v>36</v>
      </c>
      <c r="G716" s="2" t="s">
        <v>19</v>
      </c>
      <c r="H716" s="2" t="s">
        <v>107</v>
      </c>
      <c r="I716" s="2" t="s">
        <v>221</v>
      </c>
      <c r="J716" s="5">
        <v>4</v>
      </c>
      <c r="K716" s="6">
        <v>490</v>
      </c>
      <c r="L716" s="6">
        <f t="shared" si="33"/>
        <v>1960</v>
      </c>
      <c r="M716" s="7">
        <v>0</v>
      </c>
      <c r="N716" s="6">
        <f t="shared" si="34"/>
        <v>0</v>
      </c>
      <c r="O716" s="6">
        <f t="shared" si="35"/>
        <v>1960</v>
      </c>
    </row>
    <row r="717" spans="1:15">
      <c r="A717" s="8" t="s">
        <v>929</v>
      </c>
      <c r="B717" s="9">
        <v>45912</v>
      </c>
      <c r="C717" s="10">
        <v>2025</v>
      </c>
      <c r="D717" s="8" t="s">
        <v>123</v>
      </c>
      <c r="E717" s="8" t="s">
        <v>35</v>
      </c>
      <c r="F717" s="8" t="s">
        <v>36</v>
      </c>
      <c r="G717" s="8" t="s">
        <v>26</v>
      </c>
      <c r="H717" s="8" t="s">
        <v>27</v>
      </c>
      <c r="I717" s="8" t="s">
        <v>28</v>
      </c>
      <c r="J717" s="11">
        <v>1</v>
      </c>
      <c r="K717" s="12">
        <v>8000</v>
      </c>
      <c r="L717" s="12">
        <f t="shared" si="33"/>
        <v>8000</v>
      </c>
      <c r="M717" s="13">
        <v>0</v>
      </c>
      <c r="N717" s="12">
        <f t="shared" si="34"/>
        <v>0</v>
      </c>
      <c r="O717" s="12">
        <f t="shared" si="35"/>
        <v>8000</v>
      </c>
    </row>
    <row r="718" spans="1:15">
      <c r="A718" s="2" t="s">
        <v>930</v>
      </c>
      <c r="B718" s="3">
        <v>45458</v>
      </c>
      <c r="C718" s="4">
        <v>2024</v>
      </c>
      <c r="D718" s="2" t="s">
        <v>100</v>
      </c>
      <c r="E718" s="2" t="s">
        <v>42</v>
      </c>
      <c r="F718" s="2" t="s">
        <v>43</v>
      </c>
      <c r="G718" s="2" t="s">
        <v>31</v>
      </c>
      <c r="H718" s="2" t="s">
        <v>84</v>
      </c>
      <c r="I718" s="2" t="s">
        <v>448</v>
      </c>
      <c r="J718" s="5">
        <v>2</v>
      </c>
      <c r="K718" s="6">
        <v>600</v>
      </c>
      <c r="L718" s="6">
        <f t="shared" si="33"/>
        <v>1200</v>
      </c>
      <c r="M718" s="7">
        <v>0</v>
      </c>
      <c r="N718" s="6">
        <f t="shared" si="34"/>
        <v>0</v>
      </c>
      <c r="O718" s="6">
        <f t="shared" si="35"/>
        <v>1200</v>
      </c>
    </row>
    <row r="719" spans="1:15">
      <c r="A719" s="8" t="s">
        <v>931</v>
      </c>
      <c r="B719" s="9">
        <v>45550</v>
      </c>
      <c r="C719" s="10">
        <v>2024</v>
      </c>
      <c r="D719" s="8" t="s">
        <v>123</v>
      </c>
      <c r="E719" s="8" t="s">
        <v>24</v>
      </c>
      <c r="F719" s="8" t="s">
        <v>25</v>
      </c>
      <c r="G719" s="8" t="s">
        <v>19</v>
      </c>
      <c r="H719" s="8" t="s">
        <v>141</v>
      </c>
      <c r="I719" s="8" t="s">
        <v>278</v>
      </c>
      <c r="J719" s="11">
        <v>2</v>
      </c>
      <c r="K719" s="12">
        <v>1400</v>
      </c>
      <c r="L719" s="12">
        <f t="shared" si="33"/>
        <v>2800</v>
      </c>
      <c r="M719" s="13">
        <v>0</v>
      </c>
      <c r="N719" s="12">
        <f t="shared" si="34"/>
        <v>0</v>
      </c>
      <c r="O719" s="12">
        <f t="shared" si="35"/>
        <v>2800</v>
      </c>
    </row>
    <row r="720" spans="1:15">
      <c r="A720" s="2" t="s">
        <v>932</v>
      </c>
      <c r="B720" s="3">
        <v>46022</v>
      </c>
      <c r="C720" s="4">
        <v>2025</v>
      </c>
      <c r="D720" s="2" t="s">
        <v>16</v>
      </c>
      <c r="E720" s="2" t="s">
        <v>24</v>
      </c>
      <c r="F720" s="2" t="s">
        <v>25</v>
      </c>
      <c r="G720" s="2" t="s">
        <v>57</v>
      </c>
      <c r="H720" s="2" t="s">
        <v>58</v>
      </c>
      <c r="I720" s="2" t="s">
        <v>59</v>
      </c>
      <c r="J720" s="5">
        <v>1</v>
      </c>
      <c r="K720" s="6">
        <v>5500</v>
      </c>
      <c r="L720" s="6">
        <f t="shared" si="33"/>
        <v>5500</v>
      </c>
      <c r="M720" s="7">
        <v>0</v>
      </c>
      <c r="N720" s="6">
        <f t="shared" si="34"/>
        <v>0</v>
      </c>
      <c r="O720" s="6">
        <f t="shared" si="35"/>
        <v>5500</v>
      </c>
    </row>
    <row r="721" spans="1:15">
      <c r="A721" s="8" t="s">
        <v>933</v>
      </c>
      <c r="B721" s="9">
        <v>45830</v>
      </c>
      <c r="C721" s="10">
        <v>2025</v>
      </c>
      <c r="D721" s="8" t="s">
        <v>100</v>
      </c>
      <c r="E721" s="8" t="s">
        <v>35</v>
      </c>
      <c r="F721" s="8" t="s">
        <v>36</v>
      </c>
      <c r="G721" s="8" t="s">
        <v>57</v>
      </c>
      <c r="H721" s="8" t="s">
        <v>58</v>
      </c>
      <c r="I721" s="8" t="s">
        <v>59</v>
      </c>
      <c r="J721" s="11">
        <v>1</v>
      </c>
      <c r="K721" s="12">
        <v>3900</v>
      </c>
      <c r="L721" s="12">
        <f t="shared" si="33"/>
        <v>3900</v>
      </c>
      <c r="M721" s="13">
        <v>0</v>
      </c>
      <c r="N721" s="12">
        <f t="shared" si="34"/>
        <v>0</v>
      </c>
      <c r="O721" s="12">
        <f t="shared" si="35"/>
        <v>3900</v>
      </c>
    </row>
    <row r="722" spans="1:15">
      <c r="A722" s="2" t="s">
        <v>934</v>
      </c>
      <c r="B722" s="3">
        <v>45264</v>
      </c>
      <c r="C722" s="4">
        <v>2023</v>
      </c>
      <c r="D722" s="2" t="s">
        <v>16</v>
      </c>
      <c r="E722" s="2" t="s">
        <v>42</v>
      </c>
      <c r="F722" s="2" t="s">
        <v>43</v>
      </c>
      <c r="G722" s="2" t="s">
        <v>31</v>
      </c>
      <c r="H722" s="2" t="s">
        <v>84</v>
      </c>
      <c r="I722" s="2" t="s">
        <v>85</v>
      </c>
      <c r="J722" s="5">
        <v>4</v>
      </c>
      <c r="K722" s="6">
        <v>500</v>
      </c>
      <c r="L722" s="6">
        <f t="shared" si="33"/>
        <v>2000</v>
      </c>
      <c r="M722" s="7">
        <v>1.2E-2</v>
      </c>
      <c r="N722" s="6">
        <f t="shared" si="34"/>
        <v>24</v>
      </c>
      <c r="O722" s="6">
        <f t="shared" si="35"/>
        <v>1976</v>
      </c>
    </row>
    <row r="723" spans="1:15">
      <c r="A723" s="8" t="s">
        <v>935</v>
      </c>
      <c r="B723" s="9">
        <v>44942</v>
      </c>
      <c r="C723" s="10">
        <v>2023</v>
      </c>
      <c r="D723" s="8" t="s">
        <v>169</v>
      </c>
      <c r="E723" s="8" t="s">
        <v>24</v>
      </c>
      <c r="F723" s="8" t="s">
        <v>25</v>
      </c>
      <c r="G723" s="8" t="s">
        <v>64</v>
      </c>
      <c r="H723" s="8" t="s">
        <v>97</v>
      </c>
      <c r="I723" s="8" t="s">
        <v>300</v>
      </c>
      <c r="J723" s="11">
        <v>1</v>
      </c>
      <c r="K723" s="12">
        <v>1450</v>
      </c>
      <c r="L723" s="12">
        <f t="shared" si="33"/>
        <v>1450</v>
      </c>
      <c r="M723" s="13">
        <v>0</v>
      </c>
      <c r="N723" s="12">
        <f t="shared" si="34"/>
        <v>0</v>
      </c>
      <c r="O723" s="12">
        <f t="shared" si="35"/>
        <v>1450</v>
      </c>
    </row>
    <row r="724" spans="1:15">
      <c r="A724" s="2" t="s">
        <v>936</v>
      </c>
      <c r="B724" s="3">
        <v>45521</v>
      </c>
      <c r="C724" s="4">
        <v>2024</v>
      </c>
      <c r="D724" s="2" t="s">
        <v>52</v>
      </c>
      <c r="E724" s="2" t="s">
        <v>35</v>
      </c>
      <c r="F724" s="2" t="s">
        <v>36</v>
      </c>
      <c r="G724" s="2" t="s">
        <v>26</v>
      </c>
      <c r="H724" s="2" t="s">
        <v>113</v>
      </c>
      <c r="I724" s="2" t="s">
        <v>114</v>
      </c>
      <c r="J724" s="5">
        <v>1</v>
      </c>
      <c r="K724" s="6">
        <v>2500</v>
      </c>
      <c r="L724" s="6">
        <f t="shared" si="33"/>
        <v>2500</v>
      </c>
      <c r="M724" s="7">
        <v>5.3999999999999999E-2</v>
      </c>
      <c r="N724" s="6">
        <f t="shared" si="34"/>
        <v>135</v>
      </c>
      <c r="O724" s="6">
        <f t="shared" si="35"/>
        <v>2365</v>
      </c>
    </row>
    <row r="725" spans="1:15">
      <c r="A725" s="8" t="s">
        <v>937</v>
      </c>
      <c r="B725" s="9">
        <v>45453</v>
      </c>
      <c r="C725" s="10">
        <v>2024</v>
      </c>
      <c r="D725" s="8" t="s">
        <v>100</v>
      </c>
      <c r="E725" s="8" t="s">
        <v>24</v>
      </c>
      <c r="F725" s="8" t="s">
        <v>25</v>
      </c>
      <c r="G725" s="8" t="s">
        <v>31</v>
      </c>
      <c r="H725" s="8" t="s">
        <v>84</v>
      </c>
      <c r="I725" s="8" t="s">
        <v>448</v>
      </c>
      <c r="J725" s="11">
        <v>6</v>
      </c>
      <c r="K725" s="12">
        <v>800</v>
      </c>
      <c r="L725" s="12">
        <f t="shared" si="33"/>
        <v>4800</v>
      </c>
      <c r="M725" s="13">
        <v>3.2000000000000001E-2</v>
      </c>
      <c r="N725" s="12">
        <f t="shared" si="34"/>
        <v>153.6</v>
      </c>
      <c r="O725" s="12">
        <f t="shared" si="35"/>
        <v>4646.3999999999996</v>
      </c>
    </row>
    <row r="726" spans="1:15">
      <c r="A726" s="2" t="s">
        <v>938</v>
      </c>
      <c r="B726" s="3">
        <v>45109</v>
      </c>
      <c r="C726" s="4">
        <v>2023</v>
      </c>
      <c r="D726" s="2" t="s">
        <v>68</v>
      </c>
      <c r="E726" s="2" t="s">
        <v>35</v>
      </c>
      <c r="F726" s="2" t="s">
        <v>36</v>
      </c>
      <c r="G726" s="2" t="s">
        <v>19</v>
      </c>
      <c r="H726" s="2" t="s">
        <v>69</v>
      </c>
      <c r="I726" s="2" t="s">
        <v>70</v>
      </c>
      <c r="J726" s="5">
        <v>2</v>
      </c>
      <c r="K726" s="6">
        <v>2200</v>
      </c>
      <c r="L726" s="6">
        <f t="shared" si="33"/>
        <v>4400</v>
      </c>
      <c r="M726" s="7">
        <v>1.4E-2</v>
      </c>
      <c r="N726" s="6">
        <f t="shared" si="34"/>
        <v>61.6</v>
      </c>
      <c r="O726" s="6">
        <f t="shared" si="35"/>
        <v>4338.3999999999996</v>
      </c>
    </row>
    <row r="727" spans="1:15">
      <c r="A727" s="8" t="s">
        <v>939</v>
      </c>
      <c r="B727" s="9">
        <v>45633</v>
      </c>
      <c r="C727" s="10">
        <v>2024</v>
      </c>
      <c r="D727" s="8" t="s">
        <v>16</v>
      </c>
      <c r="E727" s="8" t="s">
        <v>42</v>
      </c>
      <c r="F727" s="8" t="s">
        <v>43</v>
      </c>
      <c r="G727" s="8" t="s">
        <v>37</v>
      </c>
      <c r="H727" s="8" t="s">
        <v>91</v>
      </c>
      <c r="I727" s="8" t="s">
        <v>430</v>
      </c>
      <c r="J727" s="11">
        <v>1</v>
      </c>
      <c r="K727" s="12">
        <v>1150</v>
      </c>
      <c r="L727" s="12">
        <f t="shared" si="33"/>
        <v>1150</v>
      </c>
      <c r="M727" s="13">
        <v>0</v>
      </c>
      <c r="N727" s="12">
        <f t="shared" si="34"/>
        <v>0</v>
      </c>
      <c r="O727" s="12">
        <f t="shared" si="35"/>
        <v>1150</v>
      </c>
    </row>
    <row r="728" spans="1:15">
      <c r="A728" s="2" t="s">
        <v>940</v>
      </c>
      <c r="B728" s="3">
        <v>45976</v>
      </c>
      <c r="C728" s="4">
        <v>2025</v>
      </c>
      <c r="D728" s="2" t="s">
        <v>41</v>
      </c>
      <c r="E728" s="2" t="s">
        <v>24</v>
      </c>
      <c r="F728" s="2" t="s">
        <v>25</v>
      </c>
      <c r="G728" s="2" t="s">
        <v>37</v>
      </c>
      <c r="H728" s="2" t="s">
        <v>49</v>
      </c>
      <c r="I728" s="2" t="s">
        <v>50</v>
      </c>
      <c r="J728" s="5">
        <v>2</v>
      </c>
      <c r="K728" s="6">
        <v>410</v>
      </c>
      <c r="L728" s="6">
        <f t="shared" si="33"/>
        <v>820</v>
      </c>
      <c r="M728" s="7">
        <v>0</v>
      </c>
      <c r="N728" s="6">
        <f t="shared" si="34"/>
        <v>0</v>
      </c>
      <c r="O728" s="6">
        <f t="shared" si="35"/>
        <v>820</v>
      </c>
    </row>
    <row r="729" spans="1:15">
      <c r="A729" s="8" t="s">
        <v>941</v>
      </c>
      <c r="B729" s="9">
        <v>44943</v>
      </c>
      <c r="C729" s="10">
        <v>2023</v>
      </c>
      <c r="D729" s="8" t="s">
        <v>169</v>
      </c>
      <c r="E729" s="8" t="s">
        <v>17</v>
      </c>
      <c r="F729" s="8" t="s">
        <v>18</v>
      </c>
      <c r="G729" s="8" t="s">
        <v>31</v>
      </c>
      <c r="H729" s="8" t="s">
        <v>84</v>
      </c>
      <c r="I729" s="8" t="s">
        <v>85</v>
      </c>
      <c r="J729" s="11">
        <v>3</v>
      </c>
      <c r="K729" s="12">
        <v>1000</v>
      </c>
      <c r="L729" s="12">
        <f t="shared" si="33"/>
        <v>3000</v>
      </c>
      <c r="M729" s="13">
        <v>0</v>
      </c>
      <c r="N729" s="12">
        <f t="shared" si="34"/>
        <v>0</v>
      </c>
      <c r="O729" s="12">
        <f t="shared" si="35"/>
        <v>3000</v>
      </c>
    </row>
    <row r="730" spans="1:15">
      <c r="A730" s="2" t="s">
        <v>942</v>
      </c>
      <c r="B730" s="3">
        <v>45954</v>
      </c>
      <c r="C730" s="4">
        <v>2025</v>
      </c>
      <c r="D730" s="2" t="s">
        <v>72</v>
      </c>
      <c r="E730" s="2" t="s">
        <v>17</v>
      </c>
      <c r="F730" s="2" t="s">
        <v>18</v>
      </c>
      <c r="G730" s="2" t="s">
        <v>37</v>
      </c>
      <c r="H730" s="2" t="s">
        <v>91</v>
      </c>
      <c r="I730" s="2" t="s">
        <v>344</v>
      </c>
      <c r="J730" s="5">
        <v>2</v>
      </c>
      <c r="K730" s="6">
        <v>1250</v>
      </c>
      <c r="L730" s="6">
        <f t="shared" si="33"/>
        <v>2500</v>
      </c>
      <c r="M730" s="7">
        <v>0</v>
      </c>
      <c r="N730" s="6">
        <f t="shared" si="34"/>
        <v>0</v>
      </c>
      <c r="O730" s="6">
        <f t="shared" si="35"/>
        <v>2500</v>
      </c>
    </row>
    <row r="731" spans="1:15">
      <c r="A731" s="8" t="s">
        <v>943</v>
      </c>
      <c r="B731" s="9">
        <v>45992</v>
      </c>
      <c r="C731" s="10">
        <v>2025</v>
      </c>
      <c r="D731" s="8" t="s">
        <v>16</v>
      </c>
      <c r="E731" s="8" t="s">
        <v>42</v>
      </c>
      <c r="F731" s="8" t="s">
        <v>43</v>
      </c>
      <c r="G731" s="8" t="s">
        <v>57</v>
      </c>
      <c r="H731" s="8" t="s">
        <v>131</v>
      </c>
      <c r="I731" s="8" t="s">
        <v>166</v>
      </c>
      <c r="J731" s="11">
        <v>1</v>
      </c>
      <c r="K731" s="12">
        <v>2500</v>
      </c>
      <c r="L731" s="12">
        <f t="shared" si="33"/>
        <v>2500</v>
      </c>
      <c r="M731" s="13">
        <v>0</v>
      </c>
      <c r="N731" s="12">
        <f t="shared" si="34"/>
        <v>0</v>
      </c>
      <c r="O731" s="12">
        <f t="shared" si="35"/>
        <v>2500</v>
      </c>
    </row>
    <row r="732" spans="1:15">
      <c r="A732" s="2" t="s">
        <v>944</v>
      </c>
      <c r="B732" s="3">
        <v>45566</v>
      </c>
      <c r="C732" s="4">
        <v>2024</v>
      </c>
      <c r="D732" s="2" t="s">
        <v>72</v>
      </c>
      <c r="E732" s="2" t="s">
        <v>17</v>
      </c>
      <c r="F732" s="2" t="s">
        <v>18</v>
      </c>
      <c r="G732" s="2" t="s">
        <v>19</v>
      </c>
      <c r="H732" s="2" t="s">
        <v>107</v>
      </c>
      <c r="I732" s="2" t="s">
        <v>242</v>
      </c>
      <c r="J732" s="5">
        <v>10</v>
      </c>
      <c r="K732" s="6">
        <v>1100</v>
      </c>
      <c r="L732" s="6">
        <f t="shared" si="33"/>
        <v>11000</v>
      </c>
      <c r="M732" s="7">
        <v>0</v>
      </c>
      <c r="N732" s="6">
        <f t="shared" si="34"/>
        <v>0</v>
      </c>
      <c r="O732" s="6">
        <f t="shared" si="35"/>
        <v>11000</v>
      </c>
    </row>
    <row r="733" spans="1:15">
      <c r="A733" s="8" t="s">
        <v>945</v>
      </c>
      <c r="B733" s="9">
        <v>45923</v>
      </c>
      <c r="C733" s="10">
        <v>2025</v>
      </c>
      <c r="D733" s="8" t="s">
        <v>123</v>
      </c>
      <c r="E733" s="8" t="s">
        <v>42</v>
      </c>
      <c r="F733" s="8" t="s">
        <v>43</v>
      </c>
      <c r="G733" s="8" t="s">
        <v>57</v>
      </c>
      <c r="H733" s="8" t="s">
        <v>131</v>
      </c>
      <c r="I733" s="8" t="s">
        <v>160</v>
      </c>
      <c r="J733" s="11">
        <v>1</v>
      </c>
      <c r="K733" s="12">
        <v>3900</v>
      </c>
      <c r="L733" s="12">
        <f t="shared" si="33"/>
        <v>3900</v>
      </c>
      <c r="M733" s="13">
        <v>0</v>
      </c>
      <c r="N733" s="12">
        <f t="shared" si="34"/>
        <v>0</v>
      </c>
      <c r="O733" s="12">
        <f t="shared" si="35"/>
        <v>3900</v>
      </c>
    </row>
    <row r="734" spans="1:15">
      <c r="A734" s="2" t="s">
        <v>946</v>
      </c>
      <c r="B734" s="3">
        <v>45388</v>
      </c>
      <c r="C734" s="4">
        <v>2024</v>
      </c>
      <c r="D734" s="2" t="s">
        <v>30</v>
      </c>
      <c r="E734" s="2" t="s">
        <v>24</v>
      </c>
      <c r="F734" s="2" t="s">
        <v>25</v>
      </c>
      <c r="G734" s="2" t="s">
        <v>57</v>
      </c>
      <c r="H734" s="2" t="s">
        <v>200</v>
      </c>
      <c r="I734" s="2" t="s">
        <v>425</v>
      </c>
      <c r="J734" s="5">
        <v>1</v>
      </c>
      <c r="K734" s="6">
        <v>3150</v>
      </c>
      <c r="L734" s="6">
        <f t="shared" si="33"/>
        <v>3150</v>
      </c>
      <c r="M734" s="7">
        <v>0</v>
      </c>
      <c r="N734" s="6">
        <f t="shared" si="34"/>
        <v>0</v>
      </c>
      <c r="O734" s="6">
        <f t="shared" si="35"/>
        <v>3150</v>
      </c>
    </row>
    <row r="735" spans="1:15">
      <c r="A735" s="8" t="s">
        <v>947</v>
      </c>
      <c r="B735" s="9">
        <v>45254</v>
      </c>
      <c r="C735" s="10">
        <v>2023</v>
      </c>
      <c r="D735" s="8" t="s">
        <v>41</v>
      </c>
      <c r="E735" s="8" t="s">
        <v>24</v>
      </c>
      <c r="F735" s="8" t="s">
        <v>25</v>
      </c>
      <c r="G735" s="8" t="s">
        <v>64</v>
      </c>
      <c r="H735" s="8" t="s">
        <v>94</v>
      </c>
      <c r="I735" s="8" t="s">
        <v>601</v>
      </c>
      <c r="J735" s="11">
        <v>1</v>
      </c>
      <c r="K735" s="12">
        <v>700</v>
      </c>
      <c r="L735" s="12">
        <f t="shared" si="33"/>
        <v>700</v>
      </c>
      <c r="M735" s="13">
        <v>0</v>
      </c>
      <c r="N735" s="12">
        <f t="shared" si="34"/>
        <v>0</v>
      </c>
      <c r="O735" s="12">
        <f t="shared" si="35"/>
        <v>700</v>
      </c>
    </row>
    <row r="736" spans="1:15">
      <c r="A736" s="2" t="s">
        <v>948</v>
      </c>
      <c r="B736" s="3">
        <v>45700</v>
      </c>
      <c r="C736" s="4">
        <v>2025</v>
      </c>
      <c r="D736" s="2" t="s">
        <v>23</v>
      </c>
      <c r="E736" s="2" t="s">
        <v>17</v>
      </c>
      <c r="F736" s="2" t="s">
        <v>18</v>
      </c>
      <c r="G736" s="2" t="s">
        <v>44</v>
      </c>
      <c r="H736" s="2" t="s">
        <v>45</v>
      </c>
      <c r="I736" s="2" t="s">
        <v>46</v>
      </c>
      <c r="J736" s="5">
        <v>1</v>
      </c>
      <c r="K736" s="6">
        <v>600</v>
      </c>
      <c r="L736" s="6">
        <f t="shared" si="33"/>
        <v>600</v>
      </c>
      <c r="M736" s="7">
        <v>0</v>
      </c>
      <c r="N736" s="6">
        <f t="shared" si="34"/>
        <v>0</v>
      </c>
      <c r="O736" s="6">
        <f t="shared" si="35"/>
        <v>600</v>
      </c>
    </row>
    <row r="737" spans="1:15">
      <c r="A737" s="8" t="s">
        <v>949</v>
      </c>
      <c r="B737" s="9">
        <v>45609</v>
      </c>
      <c r="C737" s="10">
        <v>2024</v>
      </c>
      <c r="D737" s="8" t="s">
        <v>41</v>
      </c>
      <c r="E737" s="8" t="s">
        <v>35</v>
      </c>
      <c r="F737" s="8" t="s">
        <v>36</v>
      </c>
      <c r="G737" s="8" t="s">
        <v>31</v>
      </c>
      <c r="H737" s="8" t="s">
        <v>32</v>
      </c>
      <c r="I737" s="8" t="s">
        <v>276</v>
      </c>
      <c r="J737" s="11">
        <v>1</v>
      </c>
      <c r="K737" s="12">
        <v>1150</v>
      </c>
      <c r="L737" s="12">
        <f t="shared" si="33"/>
        <v>1150</v>
      </c>
      <c r="M737" s="13">
        <v>2.7E-2</v>
      </c>
      <c r="N737" s="12">
        <f t="shared" si="34"/>
        <v>31.05</v>
      </c>
      <c r="O737" s="12">
        <f t="shared" si="35"/>
        <v>1118.95</v>
      </c>
    </row>
    <row r="738" spans="1:15">
      <c r="A738" s="2" t="s">
        <v>950</v>
      </c>
      <c r="B738" s="3">
        <v>45861</v>
      </c>
      <c r="C738" s="4">
        <v>2025</v>
      </c>
      <c r="D738" s="2" t="s">
        <v>68</v>
      </c>
      <c r="E738" s="2" t="s">
        <v>42</v>
      </c>
      <c r="F738" s="2" t="s">
        <v>43</v>
      </c>
      <c r="G738" s="2" t="s">
        <v>64</v>
      </c>
      <c r="H738" s="2" t="s">
        <v>65</v>
      </c>
      <c r="I738" s="2" t="s">
        <v>66</v>
      </c>
      <c r="J738" s="5">
        <v>2</v>
      </c>
      <c r="K738" s="6">
        <v>3450</v>
      </c>
      <c r="L738" s="6">
        <f t="shared" si="33"/>
        <v>6900</v>
      </c>
      <c r="M738" s="7">
        <v>0</v>
      </c>
      <c r="N738" s="6">
        <f t="shared" si="34"/>
        <v>0</v>
      </c>
      <c r="O738" s="6">
        <f t="shared" si="35"/>
        <v>6900</v>
      </c>
    </row>
    <row r="739" spans="1:15">
      <c r="A739" s="8" t="s">
        <v>951</v>
      </c>
      <c r="B739" s="9">
        <v>45124</v>
      </c>
      <c r="C739" s="10">
        <v>2023</v>
      </c>
      <c r="D739" s="8" t="s">
        <v>68</v>
      </c>
      <c r="E739" s="8" t="s">
        <v>42</v>
      </c>
      <c r="F739" s="8" t="s">
        <v>43</v>
      </c>
      <c r="G739" s="8" t="s">
        <v>64</v>
      </c>
      <c r="H739" s="8" t="s">
        <v>97</v>
      </c>
      <c r="I739" s="8" t="s">
        <v>300</v>
      </c>
      <c r="J739" s="11">
        <v>1</v>
      </c>
      <c r="K739" s="12">
        <v>900</v>
      </c>
      <c r="L739" s="12">
        <f t="shared" si="33"/>
        <v>900</v>
      </c>
      <c r="M739" s="13">
        <v>6.5000000000000002E-2</v>
      </c>
      <c r="N739" s="12">
        <f t="shared" si="34"/>
        <v>58.5</v>
      </c>
      <c r="O739" s="12">
        <f t="shared" si="35"/>
        <v>841.5</v>
      </c>
    </row>
    <row r="740" spans="1:15">
      <c r="A740" s="2" t="s">
        <v>952</v>
      </c>
      <c r="B740" s="3">
        <v>45723</v>
      </c>
      <c r="C740" s="4">
        <v>2025</v>
      </c>
      <c r="D740" s="2" t="s">
        <v>78</v>
      </c>
      <c r="E740" s="2" t="s">
        <v>17</v>
      </c>
      <c r="F740" s="2" t="s">
        <v>18</v>
      </c>
      <c r="G740" s="2" t="s">
        <v>31</v>
      </c>
      <c r="H740" s="2" t="s">
        <v>81</v>
      </c>
      <c r="I740" s="2" t="s">
        <v>181</v>
      </c>
      <c r="J740" s="5">
        <v>5</v>
      </c>
      <c r="K740" s="6">
        <v>210</v>
      </c>
      <c r="L740" s="6">
        <f t="shared" si="33"/>
        <v>1050</v>
      </c>
      <c r="M740" s="7">
        <v>3.7999999999999999E-2</v>
      </c>
      <c r="N740" s="6">
        <f t="shared" si="34"/>
        <v>39.9</v>
      </c>
      <c r="O740" s="6">
        <f t="shared" si="35"/>
        <v>1010.1</v>
      </c>
    </row>
    <row r="741" spans="1:15">
      <c r="A741" s="8" t="s">
        <v>953</v>
      </c>
      <c r="B741" s="9">
        <v>45328</v>
      </c>
      <c r="C741" s="10">
        <v>2024</v>
      </c>
      <c r="D741" s="8" t="s">
        <v>23</v>
      </c>
      <c r="E741" s="8" t="s">
        <v>42</v>
      </c>
      <c r="F741" s="8" t="s">
        <v>43</v>
      </c>
      <c r="G741" s="8" t="s">
        <v>26</v>
      </c>
      <c r="H741" s="8" t="s">
        <v>27</v>
      </c>
      <c r="I741" s="8" t="s">
        <v>336</v>
      </c>
      <c r="J741" s="11">
        <v>1</v>
      </c>
      <c r="K741" s="12">
        <v>44500</v>
      </c>
      <c r="L741" s="12">
        <f t="shared" si="33"/>
        <v>44500</v>
      </c>
      <c r="M741" s="13">
        <v>0.14599999999999999</v>
      </c>
      <c r="N741" s="12">
        <f t="shared" si="34"/>
        <v>6497</v>
      </c>
      <c r="O741" s="12">
        <f t="shared" si="35"/>
        <v>38003</v>
      </c>
    </row>
    <row r="742" spans="1:15">
      <c r="A742" s="2" t="s">
        <v>954</v>
      </c>
      <c r="B742" s="3">
        <v>45174</v>
      </c>
      <c r="C742" s="4">
        <v>2023</v>
      </c>
      <c r="D742" s="2" t="s">
        <v>123</v>
      </c>
      <c r="E742" s="2" t="s">
        <v>42</v>
      </c>
      <c r="F742" s="2" t="s">
        <v>43</v>
      </c>
      <c r="G742" s="2" t="s">
        <v>31</v>
      </c>
      <c r="H742" s="2" t="s">
        <v>84</v>
      </c>
      <c r="I742" s="2" t="s">
        <v>448</v>
      </c>
      <c r="J742" s="5">
        <v>1</v>
      </c>
      <c r="K742" s="6">
        <v>360</v>
      </c>
      <c r="L742" s="6">
        <f t="shared" si="33"/>
        <v>360</v>
      </c>
      <c r="M742" s="7">
        <v>3.0000000000000001E-3</v>
      </c>
      <c r="N742" s="6">
        <f t="shared" si="34"/>
        <v>1.08</v>
      </c>
      <c r="O742" s="6">
        <f t="shared" si="35"/>
        <v>358.92</v>
      </c>
    </row>
    <row r="743" spans="1:15">
      <c r="A743" s="8" t="s">
        <v>955</v>
      </c>
      <c r="B743" s="9">
        <v>44981</v>
      </c>
      <c r="C743" s="10">
        <v>2023</v>
      </c>
      <c r="D743" s="8" t="s">
        <v>23</v>
      </c>
      <c r="E743" s="8" t="s">
        <v>35</v>
      </c>
      <c r="F743" s="8" t="s">
        <v>36</v>
      </c>
      <c r="G743" s="8" t="s">
        <v>44</v>
      </c>
      <c r="H743" s="8" t="s">
        <v>176</v>
      </c>
      <c r="I743" s="8" t="s">
        <v>375</v>
      </c>
      <c r="J743" s="11">
        <v>2</v>
      </c>
      <c r="K743" s="12">
        <v>1800</v>
      </c>
      <c r="L743" s="12">
        <f t="shared" si="33"/>
        <v>3600</v>
      </c>
      <c r="M743" s="13">
        <v>0</v>
      </c>
      <c r="N743" s="12">
        <f t="shared" si="34"/>
        <v>0</v>
      </c>
      <c r="O743" s="12">
        <f t="shared" si="35"/>
        <v>3600</v>
      </c>
    </row>
    <row r="744" spans="1:15">
      <c r="A744" s="2" t="s">
        <v>956</v>
      </c>
      <c r="B744" s="3">
        <v>45301</v>
      </c>
      <c r="C744" s="4">
        <v>2024</v>
      </c>
      <c r="D744" s="2" t="s">
        <v>169</v>
      </c>
      <c r="E744" s="2" t="s">
        <v>35</v>
      </c>
      <c r="F744" s="2" t="s">
        <v>36</v>
      </c>
      <c r="G744" s="2" t="s">
        <v>37</v>
      </c>
      <c r="H744" s="2" t="s">
        <v>104</v>
      </c>
      <c r="I744" s="2" t="s">
        <v>623</v>
      </c>
      <c r="J744" s="5">
        <v>2</v>
      </c>
      <c r="K744" s="6">
        <v>2000</v>
      </c>
      <c r="L744" s="6">
        <f t="shared" si="33"/>
        <v>4000</v>
      </c>
      <c r="M744" s="7">
        <v>0.10199999999999999</v>
      </c>
      <c r="N744" s="6">
        <f t="shared" si="34"/>
        <v>408</v>
      </c>
      <c r="O744" s="6">
        <f t="shared" si="35"/>
        <v>3592</v>
      </c>
    </row>
    <row r="745" spans="1:15">
      <c r="A745" s="8" t="s">
        <v>957</v>
      </c>
      <c r="B745" s="9">
        <v>45164</v>
      </c>
      <c r="C745" s="10">
        <v>2023</v>
      </c>
      <c r="D745" s="8" t="s">
        <v>52</v>
      </c>
      <c r="E745" s="8" t="s">
        <v>42</v>
      </c>
      <c r="F745" s="8" t="s">
        <v>43</v>
      </c>
      <c r="G745" s="8" t="s">
        <v>53</v>
      </c>
      <c r="H745" s="8" t="s">
        <v>136</v>
      </c>
      <c r="I745" s="8" t="s">
        <v>137</v>
      </c>
      <c r="J745" s="11">
        <v>3</v>
      </c>
      <c r="K745" s="12">
        <v>3000</v>
      </c>
      <c r="L745" s="12">
        <f t="shared" si="33"/>
        <v>9000</v>
      </c>
      <c r="M745" s="13">
        <v>0</v>
      </c>
      <c r="N745" s="12">
        <f t="shared" si="34"/>
        <v>0</v>
      </c>
      <c r="O745" s="12">
        <f t="shared" si="35"/>
        <v>9000</v>
      </c>
    </row>
    <row r="746" spans="1:15">
      <c r="A746" s="2" t="s">
        <v>958</v>
      </c>
      <c r="B746" s="3">
        <v>45797</v>
      </c>
      <c r="C746" s="4">
        <v>2025</v>
      </c>
      <c r="D746" s="2" t="s">
        <v>48</v>
      </c>
      <c r="E746" s="2" t="s">
        <v>17</v>
      </c>
      <c r="F746" s="2" t="s">
        <v>18</v>
      </c>
      <c r="G746" s="2" t="s">
        <v>64</v>
      </c>
      <c r="H746" s="2" t="s">
        <v>94</v>
      </c>
      <c r="I746" s="2" t="s">
        <v>170</v>
      </c>
      <c r="J746" s="5">
        <v>1</v>
      </c>
      <c r="K746" s="6">
        <v>550</v>
      </c>
      <c r="L746" s="6">
        <f t="shared" si="33"/>
        <v>550</v>
      </c>
      <c r="M746" s="7">
        <v>0.13300000000000001</v>
      </c>
      <c r="N746" s="6">
        <f t="shared" si="34"/>
        <v>73.150000000000006</v>
      </c>
      <c r="O746" s="6">
        <f t="shared" si="35"/>
        <v>476.85</v>
      </c>
    </row>
    <row r="747" spans="1:15">
      <c r="A747" s="8" t="s">
        <v>959</v>
      </c>
      <c r="B747" s="9">
        <v>45133</v>
      </c>
      <c r="C747" s="10">
        <v>2023</v>
      </c>
      <c r="D747" s="8" t="s">
        <v>68</v>
      </c>
      <c r="E747" s="8" t="s">
        <v>42</v>
      </c>
      <c r="F747" s="8" t="s">
        <v>43</v>
      </c>
      <c r="G747" s="8" t="s">
        <v>26</v>
      </c>
      <c r="H747" s="8" t="s">
        <v>101</v>
      </c>
      <c r="I747" s="8" t="s">
        <v>399</v>
      </c>
      <c r="J747" s="11">
        <v>2</v>
      </c>
      <c r="K747" s="12">
        <v>25000</v>
      </c>
      <c r="L747" s="12">
        <f t="shared" si="33"/>
        <v>50000</v>
      </c>
      <c r="M747" s="13">
        <v>0</v>
      </c>
      <c r="N747" s="12">
        <f t="shared" si="34"/>
        <v>0</v>
      </c>
      <c r="O747" s="12">
        <f t="shared" si="35"/>
        <v>50000</v>
      </c>
    </row>
    <row r="748" spans="1:15">
      <c r="A748" s="2" t="s">
        <v>960</v>
      </c>
      <c r="B748" s="3">
        <v>45511</v>
      </c>
      <c r="C748" s="4">
        <v>2024</v>
      </c>
      <c r="D748" s="2" t="s">
        <v>52</v>
      </c>
      <c r="E748" s="2" t="s">
        <v>35</v>
      </c>
      <c r="F748" s="2" t="s">
        <v>36</v>
      </c>
      <c r="G748" s="2" t="s">
        <v>26</v>
      </c>
      <c r="H748" s="2" t="s">
        <v>101</v>
      </c>
      <c r="I748" s="2" t="s">
        <v>235</v>
      </c>
      <c r="J748" s="5">
        <v>1</v>
      </c>
      <c r="K748" s="6">
        <v>60500</v>
      </c>
      <c r="L748" s="6">
        <f t="shared" si="33"/>
        <v>60500</v>
      </c>
      <c r="M748" s="7">
        <v>7.2999999999999995E-2</v>
      </c>
      <c r="N748" s="6">
        <f t="shared" si="34"/>
        <v>4416.5</v>
      </c>
      <c r="O748" s="6">
        <f t="shared" si="35"/>
        <v>56083.5</v>
      </c>
    </row>
    <row r="749" spans="1:15">
      <c r="A749" s="8" t="s">
        <v>961</v>
      </c>
      <c r="B749" s="9">
        <v>45538</v>
      </c>
      <c r="C749" s="10">
        <v>2024</v>
      </c>
      <c r="D749" s="8" t="s">
        <v>123</v>
      </c>
      <c r="E749" s="8" t="s">
        <v>42</v>
      </c>
      <c r="F749" s="8" t="s">
        <v>43</v>
      </c>
      <c r="G749" s="8" t="s">
        <v>37</v>
      </c>
      <c r="H749" s="8" t="s">
        <v>38</v>
      </c>
      <c r="I749" s="8" t="s">
        <v>403</v>
      </c>
      <c r="J749" s="11">
        <v>1</v>
      </c>
      <c r="K749" s="12">
        <v>850</v>
      </c>
      <c r="L749" s="12">
        <f t="shared" si="33"/>
        <v>850</v>
      </c>
      <c r="M749" s="13">
        <v>0</v>
      </c>
      <c r="N749" s="12">
        <f t="shared" si="34"/>
        <v>0</v>
      </c>
      <c r="O749" s="12">
        <f t="shared" si="35"/>
        <v>850</v>
      </c>
    </row>
    <row r="750" spans="1:15">
      <c r="A750" s="2" t="s">
        <v>962</v>
      </c>
      <c r="B750" s="3">
        <v>45391</v>
      </c>
      <c r="C750" s="4">
        <v>2024</v>
      </c>
      <c r="D750" s="2" t="s">
        <v>30</v>
      </c>
      <c r="E750" s="2" t="s">
        <v>42</v>
      </c>
      <c r="F750" s="2" t="s">
        <v>43</v>
      </c>
      <c r="G750" s="2" t="s">
        <v>31</v>
      </c>
      <c r="H750" s="2" t="s">
        <v>32</v>
      </c>
      <c r="I750" s="2" t="s">
        <v>276</v>
      </c>
      <c r="J750" s="5">
        <v>2</v>
      </c>
      <c r="K750" s="6">
        <v>150</v>
      </c>
      <c r="L750" s="6">
        <f t="shared" si="33"/>
        <v>300</v>
      </c>
      <c r="M750" s="7">
        <v>0</v>
      </c>
      <c r="N750" s="6">
        <f t="shared" si="34"/>
        <v>0</v>
      </c>
      <c r="O750" s="6">
        <f t="shared" si="35"/>
        <v>300</v>
      </c>
    </row>
    <row r="751" spans="1:15">
      <c r="A751" s="8" t="s">
        <v>963</v>
      </c>
      <c r="B751" s="9">
        <v>44992</v>
      </c>
      <c r="C751" s="10">
        <v>2023</v>
      </c>
      <c r="D751" s="8" t="s">
        <v>78</v>
      </c>
      <c r="E751" s="8" t="s">
        <v>24</v>
      </c>
      <c r="F751" s="8" t="s">
        <v>25</v>
      </c>
      <c r="G751" s="8" t="s">
        <v>44</v>
      </c>
      <c r="H751" s="8" t="s">
        <v>61</v>
      </c>
      <c r="I751" s="8" t="s">
        <v>348</v>
      </c>
      <c r="J751" s="11">
        <v>8</v>
      </c>
      <c r="K751" s="12">
        <v>1250</v>
      </c>
      <c r="L751" s="12">
        <f t="shared" si="33"/>
        <v>10000</v>
      </c>
      <c r="M751" s="13">
        <v>9.6000000000000002E-2</v>
      </c>
      <c r="N751" s="12">
        <f t="shared" si="34"/>
        <v>960</v>
      </c>
      <c r="O751" s="12">
        <f t="shared" si="35"/>
        <v>9040</v>
      </c>
    </row>
    <row r="752" spans="1:15">
      <c r="A752" s="2" t="s">
        <v>964</v>
      </c>
      <c r="B752" s="3">
        <v>45179</v>
      </c>
      <c r="C752" s="4">
        <v>2023</v>
      </c>
      <c r="D752" s="2" t="s">
        <v>123</v>
      </c>
      <c r="E752" s="2" t="s">
        <v>24</v>
      </c>
      <c r="F752" s="2" t="s">
        <v>25</v>
      </c>
      <c r="G752" s="2" t="s">
        <v>37</v>
      </c>
      <c r="H752" s="2" t="s">
        <v>91</v>
      </c>
      <c r="I752" s="2" t="s">
        <v>344</v>
      </c>
      <c r="J752" s="5">
        <v>1</v>
      </c>
      <c r="K752" s="6">
        <v>2200</v>
      </c>
      <c r="L752" s="6">
        <f t="shared" si="33"/>
        <v>2200</v>
      </c>
      <c r="M752" s="7">
        <v>5.0999999999999997E-2</v>
      </c>
      <c r="N752" s="6">
        <f t="shared" si="34"/>
        <v>112.19999999999999</v>
      </c>
      <c r="O752" s="6">
        <f t="shared" si="35"/>
        <v>2087.8000000000002</v>
      </c>
    </row>
    <row r="753" spans="1:15">
      <c r="A753" s="8" t="s">
        <v>965</v>
      </c>
      <c r="B753" s="9">
        <v>45476</v>
      </c>
      <c r="C753" s="10">
        <v>2024</v>
      </c>
      <c r="D753" s="8" t="s">
        <v>68</v>
      </c>
      <c r="E753" s="8" t="s">
        <v>24</v>
      </c>
      <c r="F753" s="8" t="s">
        <v>25</v>
      </c>
      <c r="G753" s="8" t="s">
        <v>31</v>
      </c>
      <c r="H753" s="8" t="s">
        <v>81</v>
      </c>
      <c r="I753" s="8" t="s">
        <v>148</v>
      </c>
      <c r="J753" s="11">
        <v>1</v>
      </c>
      <c r="K753" s="12">
        <v>700</v>
      </c>
      <c r="L753" s="12">
        <f t="shared" si="33"/>
        <v>700</v>
      </c>
      <c r="M753" s="13">
        <v>0</v>
      </c>
      <c r="N753" s="12">
        <f t="shared" si="34"/>
        <v>0</v>
      </c>
      <c r="O753" s="12">
        <f t="shared" si="35"/>
        <v>700</v>
      </c>
    </row>
    <row r="754" spans="1:15">
      <c r="A754" s="2" t="s">
        <v>966</v>
      </c>
      <c r="B754" s="3">
        <v>44979</v>
      </c>
      <c r="C754" s="4">
        <v>2023</v>
      </c>
      <c r="D754" s="2" t="s">
        <v>23</v>
      </c>
      <c r="E754" s="2" t="s">
        <v>42</v>
      </c>
      <c r="F754" s="2" t="s">
        <v>43</v>
      </c>
      <c r="G754" s="2" t="s">
        <v>57</v>
      </c>
      <c r="H754" s="2" t="s">
        <v>75</v>
      </c>
      <c r="I754" s="2" t="s">
        <v>76</v>
      </c>
      <c r="J754" s="5">
        <v>1</v>
      </c>
      <c r="K754" s="6">
        <v>5500</v>
      </c>
      <c r="L754" s="6">
        <f t="shared" si="33"/>
        <v>5500</v>
      </c>
      <c r="M754" s="7">
        <v>0</v>
      </c>
      <c r="N754" s="6">
        <f t="shared" si="34"/>
        <v>0</v>
      </c>
      <c r="O754" s="6">
        <f t="shared" si="35"/>
        <v>5500</v>
      </c>
    </row>
    <row r="755" spans="1:15">
      <c r="A755" s="8" t="s">
        <v>967</v>
      </c>
      <c r="B755" s="9">
        <v>45970</v>
      </c>
      <c r="C755" s="10">
        <v>2025</v>
      </c>
      <c r="D755" s="8" t="s">
        <v>41</v>
      </c>
      <c r="E755" s="8" t="s">
        <v>17</v>
      </c>
      <c r="F755" s="8" t="s">
        <v>18</v>
      </c>
      <c r="G755" s="8" t="s">
        <v>19</v>
      </c>
      <c r="H755" s="8" t="s">
        <v>107</v>
      </c>
      <c r="I755" s="8" t="s">
        <v>108</v>
      </c>
      <c r="J755" s="11">
        <v>6</v>
      </c>
      <c r="K755" s="12">
        <v>1100</v>
      </c>
      <c r="L755" s="12">
        <f t="shared" si="33"/>
        <v>6600</v>
      </c>
      <c r="M755" s="13">
        <v>0.05</v>
      </c>
      <c r="N755" s="12">
        <f t="shared" si="34"/>
        <v>330</v>
      </c>
      <c r="O755" s="12">
        <f t="shared" si="35"/>
        <v>6270</v>
      </c>
    </row>
    <row r="756" spans="1:15">
      <c r="A756" s="2" t="s">
        <v>968</v>
      </c>
      <c r="B756" s="3">
        <v>45041</v>
      </c>
      <c r="C756" s="4">
        <v>2023</v>
      </c>
      <c r="D756" s="2" t="s">
        <v>30</v>
      </c>
      <c r="E756" s="2" t="s">
        <v>42</v>
      </c>
      <c r="F756" s="2" t="s">
        <v>43</v>
      </c>
      <c r="G756" s="2" t="s">
        <v>26</v>
      </c>
      <c r="H756" s="2" t="s">
        <v>113</v>
      </c>
      <c r="I756" s="2" t="s">
        <v>162</v>
      </c>
      <c r="J756" s="5">
        <v>1</v>
      </c>
      <c r="K756" s="6">
        <v>24500</v>
      </c>
      <c r="L756" s="6">
        <f t="shared" si="33"/>
        <v>24500</v>
      </c>
      <c r="M756" s="7">
        <v>0</v>
      </c>
      <c r="N756" s="6">
        <f t="shared" si="34"/>
        <v>0</v>
      </c>
      <c r="O756" s="6">
        <f t="shared" si="35"/>
        <v>24500</v>
      </c>
    </row>
    <row r="757" spans="1:15">
      <c r="A757" s="8" t="s">
        <v>969</v>
      </c>
      <c r="B757" s="9">
        <v>45415</v>
      </c>
      <c r="C757" s="10">
        <v>2024</v>
      </c>
      <c r="D757" s="8" t="s">
        <v>48</v>
      </c>
      <c r="E757" s="8" t="s">
        <v>35</v>
      </c>
      <c r="F757" s="8" t="s">
        <v>36</v>
      </c>
      <c r="G757" s="8" t="s">
        <v>19</v>
      </c>
      <c r="H757" s="8" t="s">
        <v>271</v>
      </c>
      <c r="I757" s="8" t="s">
        <v>272</v>
      </c>
      <c r="J757" s="11">
        <v>3</v>
      </c>
      <c r="K757" s="12">
        <v>450</v>
      </c>
      <c r="L757" s="12">
        <f t="shared" si="33"/>
        <v>1350</v>
      </c>
      <c r="M757" s="13">
        <v>0</v>
      </c>
      <c r="N757" s="12">
        <f t="shared" si="34"/>
        <v>0</v>
      </c>
      <c r="O757" s="12">
        <f t="shared" si="35"/>
        <v>1350</v>
      </c>
    </row>
    <row r="758" spans="1:15">
      <c r="A758" s="2" t="s">
        <v>970</v>
      </c>
      <c r="B758" s="3">
        <v>44966</v>
      </c>
      <c r="C758" s="4">
        <v>2023</v>
      </c>
      <c r="D758" s="2" t="s">
        <v>23</v>
      </c>
      <c r="E758" s="2" t="s">
        <v>35</v>
      </c>
      <c r="F758" s="2" t="s">
        <v>36</v>
      </c>
      <c r="G758" s="2" t="s">
        <v>64</v>
      </c>
      <c r="H758" s="2" t="s">
        <v>127</v>
      </c>
      <c r="I758" s="2" t="s">
        <v>128</v>
      </c>
      <c r="J758" s="5">
        <v>1</v>
      </c>
      <c r="K758" s="6">
        <v>3450</v>
      </c>
      <c r="L758" s="6">
        <f t="shared" si="33"/>
        <v>3450</v>
      </c>
      <c r="M758" s="7">
        <v>0</v>
      </c>
      <c r="N758" s="6">
        <f t="shared" si="34"/>
        <v>0</v>
      </c>
      <c r="O758" s="6">
        <f t="shared" si="35"/>
        <v>3450</v>
      </c>
    </row>
    <row r="759" spans="1:15">
      <c r="A759" s="8" t="s">
        <v>971</v>
      </c>
      <c r="B759" s="9">
        <v>45992</v>
      </c>
      <c r="C759" s="10">
        <v>2025</v>
      </c>
      <c r="D759" s="8" t="s">
        <v>16</v>
      </c>
      <c r="E759" s="8" t="s">
        <v>24</v>
      </c>
      <c r="F759" s="8" t="s">
        <v>25</v>
      </c>
      <c r="G759" s="8" t="s">
        <v>57</v>
      </c>
      <c r="H759" s="8" t="s">
        <v>58</v>
      </c>
      <c r="I759" s="8" t="s">
        <v>151</v>
      </c>
      <c r="J759" s="11">
        <v>2</v>
      </c>
      <c r="K759" s="12">
        <v>3900</v>
      </c>
      <c r="L759" s="12">
        <f t="shared" si="33"/>
        <v>7800</v>
      </c>
      <c r="M759" s="13">
        <v>5.3999999999999999E-2</v>
      </c>
      <c r="N759" s="12">
        <f t="shared" si="34"/>
        <v>421.2</v>
      </c>
      <c r="O759" s="12">
        <f t="shared" si="35"/>
        <v>7378.8</v>
      </c>
    </row>
    <row r="760" spans="1:15">
      <c r="A760" s="2" t="s">
        <v>972</v>
      </c>
      <c r="B760" s="3">
        <v>45150</v>
      </c>
      <c r="C760" s="4">
        <v>2023</v>
      </c>
      <c r="D760" s="2" t="s">
        <v>52</v>
      </c>
      <c r="E760" s="2" t="s">
        <v>24</v>
      </c>
      <c r="F760" s="2" t="s">
        <v>25</v>
      </c>
      <c r="G760" s="2" t="s">
        <v>44</v>
      </c>
      <c r="H760" s="2" t="s">
        <v>223</v>
      </c>
      <c r="I760" s="2" t="s">
        <v>297</v>
      </c>
      <c r="J760" s="5">
        <v>8</v>
      </c>
      <c r="K760" s="6">
        <v>600</v>
      </c>
      <c r="L760" s="6">
        <f t="shared" si="33"/>
        <v>4800</v>
      </c>
      <c r="M760" s="7">
        <v>0</v>
      </c>
      <c r="N760" s="6">
        <f t="shared" si="34"/>
        <v>0</v>
      </c>
      <c r="O760" s="6">
        <f t="shared" si="35"/>
        <v>4800</v>
      </c>
    </row>
    <row r="761" spans="1:15">
      <c r="A761" s="8" t="s">
        <v>973</v>
      </c>
      <c r="B761" s="9">
        <v>45674</v>
      </c>
      <c r="C761" s="10">
        <v>2025</v>
      </c>
      <c r="D761" s="8" t="s">
        <v>169</v>
      </c>
      <c r="E761" s="8" t="s">
        <v>24</v>
      </c>
      <c r="F761" s="8" t="s">
        <v>25</v>
      </c>
      <c r="G761" s="8" t="s">
        <v>53</v>
      </c>
      <c r="H761" s="8" t="s">
        <v>285</v>
      </c>
      <c r="I761" s="8" t="s">
        <v>286</v>
      </c>
      <c r="J761" s="11">
        <v>3</v>
      </c>
      <c r="K761" s="12">
        <v>1250</v>
      </c>
      <c r="L761" s="12">
        <f t="shared" si="33"/>
        <v>3750</v>
      </c>
      <c r="M761" s="13">
        <v>1.2999999999999999E-2</v>
      </c>
      <c r="N761" s="12">
        <f t="shared" si="34"/>
        <v>48.75</v>
      </c>
      <c r="O761" s="12">
        <f t="shared" si="35"/>
        <v>3701.25</v>
      </c>
    </row>
    <row r="762" spans="1:15">
      <c r="A762" s="2" t="s">
        <v>974</v>
      </c>
      <c r="B762" s="3">
        <v>45220</v>
      </c>
      <c r="C762" s="4">
        <v>2023</v>
      </c>
      <c r="D762" s="2" t="s">
        <v>72</v>
      </c>
      <c r="E762" s="2" t="s">
        <v>35</v>
      </c>
      <c r="F762" s="2" t="s">
        <v>36</v>
      </c>
      <c r="G762" s="2" t="s">
        <v>57</v>
      </c>
      <c r="H762" s="2" t="s">
        <v>200</v>
      </c>
      <c r="I762" s="2" t="s">
        <v>425</v>
      </c>
      <c r="J762" s="5">
        <v>1</v>
      </c>
      <c r="K762" s="6">
        <v>5000</v>
      </c>
      <c r="L762" s="6">
        <f t="shared" si="33"/>
        <v>5000</v>
      </c>
      <c r="M762" s="7">
        <v>0</v>
      </c>
      <c r="N762" s="6">
        <f t="shared" si="34"/>
        <v>0</v>
      </c>
      <c r="O762" s="6">
        <f t="shared" si="35"/>
        <v>5000</v>
      </c>
    </row>
    <row r="763" spans="1:15">
      <c r="A763" s="8" t="s">
        <v>975</v>
      </c>
      <c r="B763" s="9">
        <v>45098</v>
      </c>
      <c r="C763" s="10">
        <v>2023</v>
      </c>
      <c r="D763" s="8" t="s">
        <v>100</v>
      </c>
      <c r="E763" s="8" t="s">
        <v>35</v>
      </c>
      <c r="F763" s="8" t="s">
        <v>36</v>
      </c>
      <c r="G763" s="8" t="s">
        <v>57</v>
      </c>
      <c r="H763" s="8" t="s">
        <v>58</v>
      </c>
      <c r="I763" s="8" t="s">
        <v>59</v>
      </c>
      <c r="J763" s="11">
        <v>1</v>
      </c>
      <c r="K763" s="12">
        <v>1050</v>
      </c>
      <c r="L763" s="12">
        <f t="shared" si="33"/>
        <v>1050</v>
      </c>
      <c r="M763" s="13">
        <v>0.183</v>
      </c>
      <c r="N763" s="12">
        <f t="shared" si="34"/>
        <v>192.15</v>
      </c>
      <c r="O763" s="12">
        <f t="shared" si="35"/>
        <v>857.85</v>
      </c>
    </row>
    <row r="764" spans="1:15">
      <c r="A764" s="2" t="s">
        <v>976</v>
      </c>
      <c r="B764" s="3">
        <v>45402</v>
      </c>
      <c r="C764" s="4">
        <v>2024</v>
      </c>
      <c r="D764" s="2" t="s">
        <v>30</v>
      </c>
      <c r="E764" s="2" t="s">
        <v>17</v>
      </c>
      <c r="F764" s="2" t="s">
        <v>18</v>
      </c>
      <c r="G764" s="2" t="s">
        <v>37</v>
      </c>
      <c r="H764" s="2" t="s">
        <v>91</v>
      </c>
      <c r="I764" s="2" t="s">
        <v>92</v>
      </c>
      <c r="J764" s="5">
        <v>2</v>
      </c>
      <c r="K764" s="6">
        <v>430</v>
      </c>
      <c r="L764" s="6">
        <f t="shared" si="33"/>
        <v>860</v>
      </c>
      <c r="M764" s="7">
        <v>1.7000000000000001E-2</v>
      </c>
      <c r="N764" s="6">
        <f t="shared" si="34"/>
        <v>14.620000000000001</v>
      </c>
      <c r="O764" s="6">
        <f t="shared" si="35"/>
        <v>845.38</v>
      </c>
    </row>
    <row r="765" spans="1:15">
      <c r="A765" s="8" t="s">
        <v>977</v>
      </c>
      <c r="B765" s="9">
        <v>45418</v>
      </c>
      <c r="C765" s="10">
        <v>2024</v>
      </c>
      <c r="D765" s="8" t="s">
        <v>48</v>
      </c>
      <c r="E765" s="8" t="s">
        <v>42</v>
      </c>
      <c r="F765" s="8" t="s">
        <v>43</v>
      </c>
      <c r="G765" s="8" t="s">
        <v>44</v>
      </c>
      <c r="H765" s="8" t="s">
        <v>45</v>
      </c>
      <c r="I765" s="8" t="s">
        <v>190</v>
      </c>
      <c r="J765" s="11">
        <v>10</v>
      </c>
      <c r="K765" s="12">
        <v>1400</v>
      </c>
      <c r="L765" s="12">
        <f t="shared" si="33"/>
        <v>14000</v>
      </c>
      <c r="M765" s="13">
        <v>0</v>
      </c>
      <c r="N765" s="12">
        <f t="shared" si="34"/>
        <v>0</v>
      </c>
      <c r="O765" s="12">
        <f t="shared" si="35"/>
        <v>14000</v>
      </c>
    </row>
    <row r="766" spans="1:15">
      <c r="A766" s="2" t="s">
        <v>978</v>
      </c>
      <c r="B766" s="3">
        <v>45038</v>
      </c>
      <c r="C766" s="4">
        <v>2023</v>
      </c>
      <c r="D766" s="2" t="s">
        <v>30</v>
      </c>
      <c r="E766" s="2" t="s">
        <v>42</v>
      </c>
      <c r="F766" s="2" t="s">
        <v>43</v>
      </c>
      <c r="G766" s="2" t="s">
        <v>31</v>
      </c>
      <c r="H766" s="2" t="s">
        <v>81</v>
      </c>
      <c r="I766" s="2" t="s">
        <v>82</v>
      </c>
      <c r="J766" s="5">
        <v>1</v>
      </c>
      <c r="K766" s="6">
        <v>1000</v>
      </c>
      <c r="L766" s="6">
        <f t="shared" si="33"/>
        <v>1000</v>
      </c>
      <c r="M766" s="7">
        <v>0</v>
      </c>
      <c r="N766" s="6">
        <f t="shared" si="34"/>
        <v>0</v>
      </c>
      <c r="O766" s="6">
        <f t="shared" si="35"/>
        <v>1000</v>
      </c>
    </row>
    <row r="767" spans="1:15">
      <c r="A767" s="8" t="s">
        <v>979</v>
      </c>
      <c r="B767" s="9">
        <v>45881</v>
      </c>
      <c r="C767" s="10">
        <v>2025</v>
      </c>
      <c r="D767" s="8" t="s">
        <v>52</v>
      </c>
      <c r="E767" s="8" t="s">
        <v>17</v>
      </c>
      <c r="F767" s="8" t="s">
        <v>18</v>
      </c>
      <c r="G767" s="8" t="s">
        <v>44</v>
      </c>
      <c r="H767" s="8" t="s">
        <v>61</v>
      </c>
      <c r="I767" s="8" t="s">
        <v>62</v>
      </c>
      <c r="J767" s="11">
        <v>5</v>
      </c>
      <c r="K767" s="12">
        <v>1450</v>
      </c>
      <c r="L767" s="12">
        <f t="shared" si="33"/>
        <v>7250</v>
      </c>
      <c r="M767" s="13">
        <v>9.9000000000000005E-2</v>
      </c>
      <c r="N767" s="12">
        <f t="shared" si="34"/>
        <v>717.75</v>
      </c>
      <c r="O767" s="12">
        <f t="shared" si="35"/>
        <v>6532.25</v>
      </c>
    </row>
    <row r="768" spans="1:15">
      <c r="A768" s="2" t="s">
        <v>980</v>
      </c>
      <c r="B768" s="3">
        <v>45380</v>
      </c>
      <c r="C768" s="4">
        <v>2024</v>
      </c>
      <c r="D768" s="2" t="s">
        <v>78</v>
      </c>
      <c r="E768" s="2" t="s">
        <v>42</v>
      </c>
      <c r="F768" s="2" t="s">
        <v>43</v>
      </c>
      <c r="G768" s="2" t="s">
        <v>57</v>
      </c>
      <c r="H768" s="2" t="s">
        <v>200</v>
      </c>
      <c r="I768" s="2" t="s">
        <v>425</v>
      </c>
      <c r="J768" s="5">
        <v>1</v>
      </c>
      <c r="K768" s="6">
        <v>6500</v>
      </c>
      <c r="L768" s="6">
        <f t="shared" si="33"/>
        <v>6500</v>
      </c>
      <c r="M768" s="7">
        <v>0</v>
      </c>
      <c r="N768" s="6">
        <f t="shared" si="34"/>
        <v>0</v>
      </c>
      <c r="O768" s="6">
        <f t="shared" si="35"/>
        <v>6500</v>
      </c>
    </row>
    <row r="769" spans="1:15">
      <c r="A769" s="8" t="s">
        <v>981</v>
      </c>
      <c r="B769" s="9">
        <v>45579</v>
      </c>
      <c r="C769" s="10">
        <v>2024</v>
      </c>
      <c r="D769" s="8" t="s">
        <v>72</v>
      </c>
      <c r="E769" s="8" t="s">
        <v>35</v>
      </c>
      <c r="F769" s="8" t="s">
        <v>36</v>
      </c>
      <c r="G769" s="8" t="s">
        <v>31</v>
      </c>
      <c r="H769" s="8" t="s">
        <v>81</v>
      </c>
      <c r="I769" s="8" t="s">
        <v>82</v>
      </c>
      <c r="J769" s="11">
        <v>1</v>
      </c>
      <c r="K769" s="12">
        <v>800</v>
      </c>
      <c r="L769" s="12">
        <f t="shared" si="33"/>
        <v>800</v>
      </c>
      <c r="M769" s="13">
        <v>0</v>
      </c>
      <c r="N769" s="12">
        <f t="shared" si="34"/>
        <v>0</v>
      </c>
      <c r="O769" s="12">
        <f t="shared" si="35"/>
        <v>800</v>
      </c>
    </row>
    <row r="770" spans="1:15">
      <c r="A770" s="2" t="s">
        <v>982</v>
      </c>
      <c r="B770" s="3">
        <v>45953</v>
      </c>
      <c r="C770" s="4">
        <v>2025</v>
      </c>
      <c r="D770" s="2" t="s">
        <v>72</v>
      </c>
      <c r="E770" s="2" t="s">
        <v>35</v>
      </c>
      <c r="F770" s="2" t="s">
        <v>36</v>
      </c>
      <c r="G770" s="2" t="s">
        <v>19</v>
      </c>
      <c r="H770" s="2" t="s">
        <v>116</v>
      </c>
      <c r="I770" s="2" t="s">
        <v>139</v>
      </c>
      <c r="J770" s="5">
        <v>1</v>
      </c>
      <c r="K770" s="6">
        <v>1700</v>
      </c>
      <c r="L770" s="6">
        <f t="shared" ref="L770:L833" si="36">J770*K770</f>
        <v>1700</v>
      </c>
      <c r="M770" s="7">
        <v>0</v>
      </c>
      <c r="N770" s="6">
        <f t="shared" ref="N770:N833" si="37">L770*M770</f>
        <v>0</v>
      </c>
      <c r="O770" s="6">
        <f t="shared" ref="O770:O833" si="38">L770-N770</f>
        <v>1700</v>
      </c>
    </row>
    <row r="771" spans="1:15">
      <c r="A771" s="8" t="s">
        <v>983</v>
      </c>
      <c r="B771" s="9">
        <v>45229</v>
      </c>
      <c r="C771" s="10">
        <v>2023</v>
      </c>
      <c r="D771" s="8" t="s">
        <v>72</v>
      </c>
      <c r="E771" s="8" t="s">
        <v>42</v>
      </c>
      <c r="F771" s="8" t="s">
        <v>43</v>
      </c>
      <c r="G771" s="8" t="s">
        <v>64</v>
      </c>
      <c r="H771" s="8" t="s">
        <v>65</v>
      </c>
      <c r="I771" s="8" t="s">
        <v>206</v>
      </c>
      <c r="J771" s="11">
        <v>3</v>
      </c>
      <c r="K771" s="12">
        <v>350</v>
      </c>
      <c r="L771" s="12">
        <f t="shared" si="36"/>
        <v>1050</v>
      </c>
      <c r="M771" s="13">
        <v>0</v>
      </c>
      <c r="N771" s="12">
        <f t="shared" si="37"/>
        <v>0</v>
      </c>
      <c r="O771" s="12">
        <f t="shared" si="38"/>
        <v>1050</v>
      </c>
    </row>
    <row r="772" spans="1:15">
      <c r="A772" s="2" t="s">
        <v>984</v>
      </c>
      <c r="B772" s="3">
        <v>45161</v>
      </c>
      <c r="C772" s="4">
        <v>2023</v>
      </c>
      <c r="D772" s="2" t="s">
        <v>52</v>
      </c>
      <c r="E772" s="2" t="s">
        <v>35</v>
      </c>
      <c r="F772" s="2" t="s">
        <v>36</v>
      </c>
      <c r="G772" s="2" t="s">
        <v>57</v>
      </c>
      <c r="H772" s="2" t="s">
        <v>131</v>
      </c>
      <c r="I772" s="2" t="s">
        <v>160</v>
      </c>
      <c r="J772" s="5">
        <v>1</v>
      </c>
      <c r="K772" s="6">
        <v>900</v>
      </c>
      <c r="L772" s="6">
        <f t="shared" si="36"/>
        <v>900</v>
      </c>
      <c r="M772" s="7">
        <v>5.8999999999999997E-2</v>
      </c>
      <c r="N772" s="6">
        <f t="shared" si="37"/>
        <v>53.099999999999994</v>
      </c>
      <c r="O772" s="6">
        <f t="shared" si="38"/>
        <v>846.9</v>
      </c>
    </row>
    <row r="773" spans="1:15">
      <c r="A773" s="8" t="s">
        <v>985</v>
      </c>
      <c r="B773" s="9">
        <v>46006</v>
      </c>
      <c r="C773" s="10">
        <v>2025</v>
      </c>
      <c r="D773" s="8" t="s">
        <v>16</v>
      </c>
      <c r="E773" s="8" t="s">
        <v>17</v>
      </c>
      <c r="F773" s="8" t="s">
        <v>18</v>
      </c>
      <c r="G773" s="8" t="s">
        <v>26</v>
      </c>
      <c r="H773" s="8" t="s">
        <v>110</v>
      </c>
      <c r="I773" s="8" t="s">
        <v>111</v>
      </c>
      <c r="J773" s="11">
        <v>1</v>
      </c>
      <c r="K773" s="12">
        <v>27000</v>
      </c>
      <c r="L773" s="12">
        <f t="shared" si="36"/>
        <v>27000</v>
      </c>
      <c r="M773" s="13">
        <v>0</v>
      </c>
      <c r="N773" s="12">
        <f t="shared" si="37"/>
        <v>0</v>
      </c>
      <c r="O773" s="12">
        <f t="shared" si="38"/>
        <v>27000</v>
      </c>
    </row>
    <row r="774" spans="1:15">
      <c r="A774" s="2" t="s">
        <v>986</v>
      </c>
      <c r="B774" s="3">
        <v>45103</v>
      </c>
      <c r="C774" s="4">
        <v>2023</v>
      </c>
      <c r="D774" s="2" t="s">
        <v>100</v>
      </c>
      <c r="E774" s="2" t="s">
        <v>17</v>
      </c>
      <c r="F774" s="2" t="s">
        <v>18</v>
      </c>
      <c r="G774" s="2" t="s">
        <v>26</v>
      </c>
      <c r="H774" s="2" t="s">
        <v>101</v>
      </c>
      <c r="I774" s="2" t="s">
        <v>102</v>
      </c>
      <c r="J774" s="5">
        <v>1</v>
      </c>
      <c r="K774" s="6">
        <v>21500</v>
      </c>
      <c r="L774" s="6">
        <f t="shared" si="36"/>
        <v>21500</v>
      </c>
      <c r="M774" s="7">
        <v>0.127</v>
      </c>
      <c r="N774" s="6">
        <f t="shared" si="37"/>
        <v>2730.5</v>
      </c>
      <c r="O774" s="6">
        <f t="shared" si="38"/>
        <v>18769.5</v>
      </c>
    </row>
    <row r="775" spans="1:15">
      <c r="A775" s="8" t="s">
        <v>987</v>
      </c>
      <c r="B775" s="9">
        <v>45043</v>
      </c>
      <c r="C775" s="10">
        <v>2023</v>
      </c>
      <c r="D775" s="8" t="s">
        <v>30</v>
      </c>
      <c r="E775" s="8" t="s">
        <v>17</v>
      </c>
      <c r="F775" s="8" t="s">
        <v>18</v>
      </c>
      <c r="G775" s="8" t="s">
        <v>31</v>
      </c>
      <c r="H775" s="8" t="s">
        <v>124</v>
      </c>
      <c r="I775" s="8" t="s">
        <v>266</v>
      </c>
      <c r="J775" s="11">
        <v>8</v>
      </c>
      <c r="K775" s="12">
        <v>1100</v>
      </c>
      <c r="L775" s="12">
        <f t="shared" si="36"/>
        <v>8800</v>
      </c>
      <c r="M775" s="13">
        <v>1E-3</v>
      </c>
      <c r="N775" s="12">
        <f t="shared" si="37"/>
        <v>8.8000000000000007</v>
      </c>
      <c r="O775" s="12">
        <f t="shared" si="38"/>
        <v>8791.2000000000007</v>
      </c>
    </row>
    <row r="776" spans="1:15">
      <c r="A776" s="2" t="s">
        <v>988</v>
      </c>
      <c r="B776" s="3">
        <v>45222</v>
      </c>
      <c r="C776" s="4">
        <v>2023</v>
      </c>
      <c r="D776" s="2" t="s">
        <v>72</v>
      </c>
      <c r="E776" s="2" t="s">
        <v>24</v>
      </c>
      <c r="F776" s="2" t="s">
        <v>25</v>
      </c>
      <c r="G776" s="2" t="s">
        <v>64</v>
      </c>
      <c r="H776" s="2" t="s">
        <v>97</v>
      </c>
      <c r="I776" s="2" t="s">
        <v>212</v>
      </c>
      <c r="J776" s="5">
        <v>1</v>
      </c>
      <c r="K776" s="6">
        <v>2450</v>
      </c>
      <c r="L776" s="6">
        <f t="shared" si="36"/>
        <v>2450</v>
      </c>
      <c r="M776" s="7">
        <v>0</v>
      </c>
      <c r="N776" s="6">
        <f t="shared" si="37"/>
        <v>0</v>
      </c>
      <c r="O776" s="6">
        <f t="shared" si="38"/>
        <v>2450</v>
      </c>
    </row>
    <row r="777" spans="1:15">
      <c r="A777" s="8" t="s">
        <v>989</v>
      </c>
      <c r="B777" s="9">
        <v>45391</v>
      </c>
      <c r="C777" s="10">
        <v>2024</v>
      </c>
      <c r="D777" s="8" t="s">
        <v>30</v>
      </c>
      <c r="E777" s="8" t="s">
        <v>24</v>
      </c>
      <c r="F777" s="8" t="s">
        <v>25</v>
      </c>
      <c r="G777" s="8" t="s">
        <v>31</v>
      </c>
      <c r="H777" s="8" t="s">
        <v>124</v>
      </c>
      <c r="I777" s="8" t="s">
        <v>508</v>
      </c>
      <c r="J777" s="11">
        <v>2</v>
      </c>
      <c r="K777" s="12">
        <v>900</v>
      </c>
      <c r="L777" s="12">
        <f t="shared" si="36"/>
        <v>1800</v>
      </c>
      <c r="M777" s="13">
        <v>8.9999999999999993E-3</v>
      </c>
      <c r="N777" s="12">
        <f t="shared" si="37"/>
        <v>16.2</v>
      </c>
      <c r="O777" s="12">
        <f t="shared" si="38"/>
        <v>1783.8</v>
      </c>
    </row>
    <row r="778" spans="1:15">
      <c r="A778" s="2" t="s">
        <v>990</v>
      </c>
      <c r="B778" s="3">
        <v>45792</v>
      </c>
      <c r="C778" s="4">
        <v>2025</v>
      </c>
      <c r="D778" s="2" t="s">
        <v>48</v>
      </c>
      <c r="E778" s="2" t="s">
        <v>17</v>
      </c>
      <c r="F778" s="2" t="s">
        <v>18</v>
      </c>
      <c r="G778" s="2" t="s">
        <v>64</v>
      </c>
      <c r="H778" s="2" t="s">
        <v>65</v>
      </c>
      <c r="I778" s="2" t="s">
        <v>66</v>
      </c>
      <c r="J778" s="5">
        <v>1</v>
      </c>
      <c r="K778" s="6">
        <v>1350</v>
      </c>
      <c r="L778" s="6">
        <f t="shared" si="36"/>
        <v>1350</v>
      </c>
      <c r="M778" s="7">
        <v>0</v>
      </c>
      <c r="N778" s="6">
        <f t="shared" si="37"/>
        <v>0</v>
      </c>
      <c r="O778" s="6">
        <f t="shared" si="38"/>
        <v>1350</v>
      </c>
    </row>
    <row r="779" spans="1:15">
      <c r="A779" s="8" t="s">
        <v>991</v>
      </c>
      <c r="B779" s="9">
        <v>45553</v>
      </c>
      <c r="C779" s="10">
        <v>2024</v>
      </c>
      <c r="D779" s="8" t="s">
        <v>123</v>
      </c>
      <c r="E779" s="8" t="s">
        <v>42</v>
      </c>
      <c r="F779" s="8" t="s">
        <v>43</v>
      </c>
      <c r="G779" s="8" t="s">
        <v>44</v>
      </c>
      <c r="H779" s="8" t="s">
        <v>223</v>
      </c>
      <c r="I779" s="8" t="s">
        <v>239</v>
      </c>
      <c r="J779" s="11">
        <v>6</v>
      </c>
      <c r="K779" s="12">
        <v>450</v>
      </c>
      <c r="L779" s="12">
        <f t="shared" si="36"/>
        <v>2700</v>
      </c>
      <c r="M779" s="13">
        <v>0</v>
      </c>
      <c r="N779" s="12">
        <f t="shared" si="37"/>
        <v>0</v>
      </c>
      <c r="O779" s="12">
        <f t="shared" si="38"/>
        <v>2700</v>
      </c>
    </row>
    <row r="780" spans="1:15">
      <c r="A780" s="2" t="s">
        <v>992</v>
      </c>
      <c r="B780" s="3">
        <v>45269</v>
      </c>
      <c r="C780" s="4">
        <v>2023</v>
      </c>
      <c r="D780" s="2" t="s">
        <v>16</v>
      </c>
      <c r="E780" s="2" t="s">
        <v>42</v>
      </c>
      <c r="F780" s="2" t="s">
        <v>43</v>
      </c>
      <c r="G780" s="2" t="s">
        <v>64</v>
      </c>
      <c r="H780" s="2" t="s">
        <v>65</v>
      </c>
      <c r="I780" s="2" t="s">
        <v>206</v>
      </c>
      <c r="J780" s="5">
        <v>1</v>
      </c>
      <c r="K780" s="6">
        <v>2550</v>
      </c>
      <c r="L780" s="6">
        <f t="shared" si="36"/>
        <v>2550</v>
      </c>
      <c r="M780" s="7">
        <v>0.29299999999999998</v>
      </c>
      <c r="N780" s="6">
        <f t="shared" si="37"/>
        <v>747.15</v>
      </c>
      <c r="O780" s="6">
        <f t="shared" si="38"/>
        <v>1802.85</v>
      </c>
    </row>
    <row r="781" spans="1:15">
      <c r="A781" s="8" t="s">
        <v>993</v>
      </c>
      <c r="B781" s="9">
        <v>45757</v>
      </c>
      <c r="C781" s="10">
        <v>2025</v>
      </c>
      <c r="D781" s="8" t="s">
        <v>30</v>
      </c>
      <c r="E781" s="8" t="s">
        <v>17</v>
      </c>
      <c r="F781" s="8" t="s">
        <v>18</v>
      </c>
      <c r="G781" s="8" t="s">
        <v>31</v>
      </c>
      <c r="H781" s="8" t="s">
        <v>81</v>
      </c>
      <c r="I781" s="8" t="s">
        <v>172</v>
      </c>
      <c r="J781" s="11">
        <v>1</v>
      </c>
      <c r="K781" s="12">
        <v>850</v>
      </c>
      <c r="L781" s="12">
        <f t="shared" si="36"/>
        <v>850</v>
      </c>
      <c r="M781" s="13">
        <v>0</v>
      </c>
      <c r="N781" s="12">
        <f t="shared" si="37"/>
        <v>0</v>
      </c>
      <c r="O781" s="12">
        <f t="shared" si="38"/>
        <v>850</v>
      </c>
    </row>
    <row r="782" spans="1:15">
      <c r="A782" s="2" t="s">
        <v>994</v>
      </c>
      <c r="B782" s="3">
        <v>45727</v>
      </c>
      <c r="C782" s="4">
        <v>2025</v>
      </c>
      <c r="D782" s="2" t="s">
        <v>78</v>
      </c>
      <c r="E782" s="2" t="s">
        <v>17</v>
      </c>
      <c r="F782" s="2" t="s">
        <v>18</v>
      </c>
      <c r="G782" s="2" t="s">
        <v>31</v>
      </c>
      <c r="H782" s="2" t="s">
        <v>124</v>
      </c>
      <c r="I782" s="2" t="s">
        <v>125</v>
      </c>
      <c r="J782" s="5">
        <v>2</v>
      </c>
      <c r="K782" s="6">
        <v>750</v>
      </c>
      <c r="L782" s="6">
        <f t="shared" si="36"/>
        <v>1500</v>
      </c>
      <c r="M782" s="7">
        <v>3.5999999999999997E-2</v>
      </c>
      <c r="N782" s="6">
        <f t="shared" si="37"/>
        <v>53.999999999999993</v>
      </c>
      <c r="O782" s="6">
        <f t="shared" si="38"/>
        <v>1446</v>
      </c>
    </row>
    <row r="783" spans="1:15">
      <c r="A783" s="8" t="s">
        <v>995</v>
      </c>
      <c r="B783" s="9">
        <v>44932</v>
      </c>
      <c r="C783" s="10">
        <v>2023</v>
      </c>
      <c r="D783" s="8" t="s">
        <v>169</v>
      </c>
      <c r="E783" s="8" t="s">
        <v>24</v>
      </c>
      <c r="F783" s="8" t="s">
        <v>25</v>
      </c>
      <c r="G783" s="8" t="s">
        <v>57</v>
      </c>
      <c r="H783" s="8" t="s">
        <v>200</v>
      </c>
      <c r="I783" s="8" t="s">
        <v>201</v>
      </c>
      <c r="J783" s="11">
        <v>1</v>
      </c>
      <c r="K783" s="12">
        <v>4150</v>
      </c>
      <c r="L783" s="12">
        <f t="shared" si="36"/>
        <v>4150</v>
      </c>
      <c r="M783" s="13">
        <v>0</v>
      </c>
      <c r="N783" s="12">
        <f t="shared" si="37"/>
        <v>0</v>
      </c>
      <c r="O783" s="12">
        <f t="shared" si="38"/>
        <v>4150</v>
      </c>
    </row>
    <row r="784" spans="1:15">
      <c r="A784" s="2" t="s">
        <v>996</v>
      </c>
      <c r="B784" s="3">
        <v>45528</v>
      </c>
      <c r="C784" s="4">
        <v>2024</v>
      </c>
      <c r="D784" s="2" t="s">
        <v>52</v>
      </c>
      <c r="E784" s="2" t="s">
        <v>42</v>
      </c>
      <c r="F784" s="2" t="s">
        <v>43</v>
      </c>
      <c r="G784" s="2" t="s">
        <v>19</v>
      </c>
      <c r="H784" s="2" t="s">
        <v>20</v>
      </c>
      <c r="I784" s="2" t="s">
        <v>21</v>
      </c>
      <c r="J784" s="5">
        <v>3</v>
      </c>
      <c r="K784" s="6">
        <v>1700</v>
      </c>
      <c r="L784" s="6">
        <f t="shared" si="36"/>
        <v>5100</v>
      </c>
      <c r="M784" s="7">
        <v>6.4000000000000001E-2</v>
      </c>
      <c r="N784" s="6">
        <f t="shared" si="37"/>
        <v>326.40000000000003</v>
      </c>
      <c r="O784" s="6">
        <f t="shared" si="38"/>
        <v>4773.6000000000004</v>
      </c>
    </row>
    <row r="785" spans="1:15">
      <c r="A785" s="8" t="s">
        <v>997</v>
      </c>
      <c r="B785" s="9">
        <v>45643</v>
      </c>
      <c r="C785" s="10">
        <v>2024</v>
      </c>
      <c r="D785" s="8" t="s">
        <v>16</v>
      </c>
      <c r="E785" s="8" t="s">
        <v>24</v>
      </c>
      <c r="F785" s="8" t="s">
        <v>25</v>
      </c>
      <c r="G785" s="8" t="s">
        <v>44</v>
      </c>
      <c r="H785" s="8" t="s">
        <v>61</v>
      </c>
      <c r="I785" s="8" t="s">
        <v>348</v>
      </c>
      <c r="J785" s="11">
        <v>4</v>
      </c>
      <c r="K785" s="12">
        <v>800</v>
      </c>
      <c r="L785" s="12">
        <f t="shared" si="36"/>
        <v>3200</v>
      </c>
      <c r="M785" s="13">
        <v>0</v>
      </c>
      <c r="N785" s="12">
        <f t="shared" si="37"/>
        <v>0</v>
      </c>
      <c r="O785" s="12">
        <f t="shared" si="38"/>
        <v>3200</v>
      </c>
    </row>
    <row r="786" spans="1:15">
      <c r="A786" s="2" t="s">
        <v>998</v>
      </c>
      <c r="B786" s="3">
        <v>45866</v>
      </c>
      <c r="C786" s="4">
        <v>2025</v>
      </c>
      <c r="D786" s="2" t="s">
        <v>68</v>
      </c>
      <c r="E786" s="2" t="s">
        <v>24</v>
      </c>
      <c r="F786" s="2" t="s">
        <v>25</v>
      </c>
      <c r="G786" s="2" t="s">
        <v>53</v>
      </c>
      <c r="H786" s="2" t="s">
        <v>54</v>
      </c>
      <c r="I786" s="2" t="s">
        <v>268</v>
      </c>
      <c r="J786" s="5">
        <v>1</v>
      </c>
      <c r="K786" s="6">
        <v>1150</v>
      </c>
      <c r="L786" s="6">
        <f t="shared" si="36"/>
        <v>1150</v>
      </c>
      <c r="M786" s="7">
        <v>0</v>
      </c>
      <c r="N786" s="6">
        <f t="shared" si="37"/>
        <v>0</v>
      </c>
      <c r="O786" s="6">
        <f t="shared" si="38"/>
        <v>1150</v>
      </c>
    </row>
    <row r="787" spans="1:15">
      <c r="A787" s="8" t="s">
        <v>999</v>
      </c>
      <c r="B787" s="9">
        <v>45471</v>
      </c>
      <c r="C787" s="10">
        <v>2024</v>
      </c>
      <c r="D787" s="8" t="s">
        <v>100</v>
      </c>
      <c r="E787" s="8" t="s">
        <v>35</v>
      </c>
      <c r="F787" s="8" t="s">
        <v>36</v>
      </c>
      <c r="G787" s="8" t="s">
        <v>19</v>
      </c>
      <c r="H787" s="8" t="s">
        <v>116</v>
      </c>
      <c r="I787" s="8" t="s">
        <v>139</v>
      </c>
      <c r="J787" s="11">
        <v>1</v>
      </c>
      <c r="K787" s="12">
        <v>2350</v>
      </c>
      <c r="L787" s="12">
        <f t="shared" si="36"/>
        <v>2350</v>
      </c>
      <c r="M787" s="13">
        <v>5.3999999999999999E-2</v>
      </c>
      <c r="N787" s="12">
        <f t="shared" si="37"/>
        <v>126.89999999999999</v>
      </c>
      <c r="O787" s="12">
        <f t="shared" si="38"/>
        <v>2223.1</v>
      </c>
    </row>
    <row r="788" spans="1:15">
      <c r="A788" s="2" t="s">
        <v>1000</v>
      </c>
      <c r="B788" s="3">
        <v>45426</v>
      </c>
      <c r="C788" s="4">
        <v>2024</v>
      </c>
      <c r="D788" s="2" t="s">
        <v>48</v>
      </c>
      <c r="E788" s="2" t="s">
        <v>24</v>
      </c>
      <c r="F788" s="2" t="s">
        <v>25</v>
      </c>
      <c r="G788" s="2" t="s">
        <v>44</v>
      </c>
      <c r="H788" s="2" t="s">
        <v>223</v>
      </c>
      <c r="I788" s="2" t="s">
        <v>224</v>
      </c>
      <c r="J788" s="5">
        <v>1</v>
      </c>
      <c r="K788" s="6">
        <v>1150</v>
      </c>
      <c r="L788" s="6">
        <f t="shared" si="36"/>
        <v>1150</v>
      </c>
      <c r="M788" s="7">
        <v>9.9000000000000005E-2</v>
      </c>
      <c r="N788" s="6">
        <f t="shared" si="37"/>
        <v>113.85000000000001</v>
      </c>
      <c r="O788" s="6">
        <f t="shared" si="38"/>
        <v>1036.1500000000001</v>
      </c>
    </row>
    <row r="789" spans="1:15">
      <c r="A789" s="8" t="s">
        <v>1001</v>
      </c>
      <c r="B789" s="9">
        <v>45122</v>
      </c>
      <c r="C789" s="10">
        <v>2023</v>
      </c>
      <c r="D789" s="8" t="s">
        <v>68</v>
      </c>
      <c r="E789" s="8" t="s">
        <v>17</v>
      </c>
      <c r="F789" s="8" t="s">
        <v>18</v>
      </c>
      <c r="G789" s="8" t="s">
        <v>19</v>
      </c>
      <c r="H789" s="8" t="s">
        <v>69</v>
      </c>
      <c r="I789" s="8" t="s">
        <v>70</v>
      </c>
      <c r="J789" s="11">
        <v>3</v>
      </c>
      <c r="K789" s="12">
        <v>1050</v>
      </c>
      <c r="L789" s="12">
        <f t="shared" si="36"/>
        <v>3150</v>
      </c>
      <c r="M789" s="13">
        <v>3.3000000000000002E-2</v>
      </c>
      <c r="N789" s="12">
        <f t="shared" si="37"/>
        <v>103.95</v>
      </c>
      <c r="O789" s="12">
        <f t="shared" si="38"/>
        <v>3046.05</v>
      </c>
    </row>
    <row r="790" spans="1:15">
      <c r="A790" s="2" t="s">
        <v>1002</v>
      </c>
      <c r="B790" s="3">
        <v>45170</v>
      </c>
      <c r="C790" s="4">
        <v>2023</v>
      </c>
      <c r="D790" s="2" t="s">
        <v>123</v>
      </c>
      <c r="E790" s="2" t="s">
        <v>17</v>
      </c>
      <c r="F790" s="2" t="s">
        <v>18</v>
      </c>
      <c r="G790" s="2" t="s">
        <v>53</v>
      </c>
      <c r="H790" s="2" t="s">
        <v>136</v>
      </c>
      <c r="I790" s="2" t="s">
        <v>137</v>
      </c>
      <c r="J790" s="5">
        <v>1</v>
      </c>
      <c r="K790" s="6">
        <v>700</v>
      </c>
      <c r="L790" s="6">
        <f t="shared" si="36"/>
        <v>700</v>
      </c>
      <c r="M790" s="7">
        <v>0.109</v>
      </c>
      <c r="N790" s="6">
        <f t="shared" si="37"/>
        <v>76.3</v>
      </c>
      <c r="O790" s="6">
        <f t="shared" si="38"/>
        <v>623.70000000000005</v>
      </c>
    </row>
    <row r="791" spans="1:15">
      <c r="A791" s="8" t="s">
        <v>1003</v>
      </c>
      <c r="B791" s="9">
        <v>45619</v>
      </c>
      <c r="C791" s="10">
        <v>2024</v>
      </c>
      <c r="D791" s="8" t="s">
        <v>41</v>
      </c>
      <c r="E791" s="8" t="s">
        <v>17</v>
      </c>
      <c r="F791" s="8" t="s">
        <v>18</v>
      </c>
      <c r="G791" s="8" t="s">
        <v>53</v>
      </c>
      <c r="H791" s="8" t="s">
        <v>136</v>
      </c>
      <c r="I791" s="8" t="s">
        <v>322</v>
      </c>
      <c r="J791" s="11">
        <v>1</v>
      </c>
      <c r="K791" s="12">
        <v>1750</v>
      </c>
      <c r="L791" s="12">
        <f t="shared" si="36"/>
        <v>1750</v>
      </c>
      <c r="M791" s="13">
        <v>9.2999999999999999E-2</v>
      </c>
      <c r="N791" s="12">
        <f t="shared" si="37"/>
        <v>162.75</v>
      </c>
      <c r="O791" s="12">
        <f t="shared" si="38"/>
        <v>1587.25</v>
      </c>
    </row>
    <row r="792" spans="1:15">
      <c r="A792" s="2" t="s">
        <v>1004</v>
      </c>
      <c r="B792" s="3">
        <v>45695</v>
      </c>
      <c r="C792" s="4">
        <v>2025</v>
      </c>
      <c r="D792" s="2" t="s">
        <v>23</v>
      </c>
      <c r="E792" s="2" t="s">
        <v>17</v>
      </c>
      <c r="F792" s="2" t="s">
        <v>18</v>
      </c>
      <c r="G792" s="2" t="s">
        <v>26</v>
      </c>
      <c r="H792" s="2" t="s">
        <v>101</v>
      </c>
      <c r="I792" s="2" t="s">
        <v>399</v>
      </c>
      <c r="J792" s="5">
        <v>1</v>
      </c>
      <c r="K792" s="6">
        <v>8500</v>
      </c>
      <c r="L792" s="6">
        <f t="shared" si="36"/>
        <v>8500</v>
      </c>
      <c r="M792" s="7">
        <v>0</v>
      </c>
      <c r="N792" s="6">
        <f t="shared" si="37"/>
        <v>0</v>
      </c>
      <c r="O792" s="6">
        <f t="shared" si="38"/>
        <v>8500</v>
      </c>
    </row>
    <row r="793" spans="1:15">
      <c r="A793" s="8" t="s">
        <v>1005</v>
      </c>
      <c r="B793" s="9">
        <v>44962</v>
      </c>
      <c r="C793" s="10">
        <v>2023</v>
      </c>
      <c r="D793" s="8" t="s">
        <v>23</v>
      </c>
      <c r="E793" s="8" t="s">
        <v>42</v>
      </c>
      <c r="F793" s="8" t="s">
        <v>43</v>
      </c>
      <c r="G793" s="8" t="s">
        <v>37</v>
      </c>
      <c r="H793" s="8" t="s">
        <v>38</v>
      </c>
      <c r="I793" s="8" t="s">
        <v>436</v>
      </c>
      <c r="J793" s="11">
        <v>1</v>
      </c>
      <c r="K793" s="12">
        <v>1600</v>
      </c>
      <c r="L793" s="12">
        <f t="shared" si="36"/>
        <v>1600</v>
      </c>
      <c r="M793" s="13">
        <v>1.7999999999999999E-2</v>
      </c>
      <c r="N793" s="12">
        <f t="shared" si="37"/>
        <v>28.799999999999997</v>
      </c>
      <c r="O793" s="12">
        <f t="shared" si="38"/>
        <v>1571.2</v>
      </c>
    </row>
    <row r="794" spans="1:15">
      <c r="A794" s="2" t="s">
        <v>1006</v>
      </c>
      <c r="B794" s="3">
        <v>45259</v>
      </c>
      <c r="C794" s="4">
        <v>2023</v>
      </c>
      <c r="D794" s="2" t="s">
        <v>41</v>
      </c>
      <c r="E794" s="2" t="s">
        <v>42</v>
      </c>
      <c r="F794" s="2" t="s">
        <v>43</v>
      </c>
      <c r="G794" s="2" t="s">
        <v>57</v>
      </c>
      <c r="H794" s="2" t="s">
        <v>200</v>
      </c>
      <c r="I794" s="2" t="s">
        <v>360</v>
      </c>
      <c r="J794" s="5">
        <v>1</v>
      </c>
      <c r="K794" s="6">
        <v>1600</v>
      </c>
      <c r="L794" s="6">
        <f t="shared" si="36"/>
        <v>1600</v>
      </c>
      <c r="M794" s="7">
        <v>0</v>
      </c>
      <c r="N794" s="6">
        <f t="shared" si="37"/>
        <v>0</v>
      </c>
      <c r="O794" s="6">
        <f t="shared" si="38"/>
        <v>1600</v>
      </c>
    </row>
    <row r="795" spans="1:15">
      <c r="A795" s="8" t="s">
        <v>1007</v>
      </c>
      <c r="B795" s="9">
        <v>45149</v>
      </c>
      <c r="C795" s="10">
        <v>2023</v>
      </c>
      <c r="D795" s="8" t="s">
        <v>52</v>
      </c>
      <c r="E795" s="8" t="s">
        <v>17</v>
      </c>
      <c r="F795" s="8" t="s">
        <v>18</v>
      </c>
      <c r="G795" s="8" t="s">
        <v>19</v>
      </c>
      <c r="H795" s="8" t="s">
        <v>107</v>
      </c>
      <c r="I795" s="8" t="s">
        <v>108</v>
      </c>
      <c r="J795" s="11">
        <v>1</v>
      </c>
      <c r="K795" s="12">
        <v>420</v>
      </c>
      <c r="L795" s="12">
        <f t="shared" si="36"/>
        <v>420</v>
      </c>
      <c r="M795" s="13">
        <v>0</v>
      </c>
      <c r="N795" s="12">
        <f t="shared" si="37"/>
        <v>0</v>
      </c>
      <c r="O795" s="12">
        <f t="shared" si="38"/>
        <v>420</v>
      </c>
    </row>
    <row r="796" spans="1:15">
      <c r="A796" s="2" t="s">
        <v>1008</v>
      </c>
      <c r="B796" s="3">
        <v>45125</v>
      </c>
      <c r="C796" s="4">
        <v>2023</v>
      </c>
      <c r="D796" s="2" t="s">
        <v>68</v>
      </c>
      <c r="E796" s="2" t="s">
        <v>24</v>
      </c>
      <c r="F796" s="2" t="s">
        <v>25</v>
      </c>
      <c r="G796" s="2" t="s">
        <v>64</v>
      </c>
      <c r="H796" s="2" t="s">
        <v>97</v>
      </c>
      <c r="I796" s="2" t="s">
        <v>134</v>
      </c>
      <c r="J796" s="5">
        <v>2</v>
      </c>
      <c r="K796" s="6">
        <v>2350</v>
      </c>
      <c r="L796" s="6">
        <f t="shared" si="36"/>
        <v>4700</v>
      </c>
      <c r="M796" s="7">
        <v>0.221</v>
      </c>
      <c r="N796" s="6">
        <f t="shared" si="37"/>
        <v>1038.7</v>
      </c>
      <c r="O796" s="6">
        <f t="shared" si="38"/>
        <v>3661.3</v>
      </c>
    </row>
    <row r="797" spans="1:15">
      <c r="A797" s="8" t="s">
        <v>1009</v>
      </c>
      <c r="B797" s="9">
        <v>45546</v>
      </c>
      <c r="C797" s="10">
        <v>2024</v>
      </c>
      <c r="D797" s="8" t="s">
        <v>123</v>
      </c>
      <c r="E797" s="8" t="s">
        <v>42</v>
      </c>
      <c r="F797" s="8" t="s">
        <v>43</v>
      </c>
      <c r="G797" s="8" t="s">
        <v>19</v>
      </c>
      <c r="H797" s="8" t="s">
        <v>141</v>
      </c>
      <c r="I797" s="8" t="s">
        <v>283</v>
      </c>
      <c r="J797" s="11">
        <v>6</v>
      </c>
      <c r="K797" s="12">
        <v>850</v>
      </c>
      <c r="L797" s="12">
        <f t="shared" si="36"/>
        <v>5100</v>
      </c>
      <c r="M797" s="13">
        <v>0.06</v>
      </c>
      <c r="N797" s="12">
        <f t="shared" si="37"/>
        <v>306</v>
      </c>
      <c r="O797" s="12">
        <f t="shared" si="38"/>
        <v>4794</v>
      </c>
    </row>
    <row r="798" spans="1:15">
      <c r="A798" s="2" t="s">
        <v>1010</v>
      </c>
      <c r="B798" s="3">
        <v>45491</v>
      </c>
      <c r="C798" s="4">
        <v>2024</v>
      </c>
      <c r="D798" s="2" t="s">
        <v>68</v>
      </c>
      <c r="E798" s="2" t="s">
        <v>24</v>
      </c>
      <c r="F798" s="2" t="s">
        <v>25</v>
      </c>
      <c r="G798" s="2" t="s">
        <v>37</v>
      </c>
      <c r="H798" s="2" t="s">
        <v>49</v>
      </c>
      <c r="I798" s="2" t="s">
        <v>50</v>
      </c>
      <c r="J798" s="5">
        <v>1</v>
      </c>
      <c r="K798" s="6">
        <v>2950</v>
      </c>
      <c r="L798" s="6">
        <f t="shared" si="36"/>
        <v>2950</v>
      </c>
      <c r="M798" s="7">
        <v>0.03</v>
      </c>
      <c r="N798" s="6">
        <f t="shared" si="37"/>
        <v>88.5</v>
      </c>
      <c r="O798" s="6">
        <f t="shared" si="38"/>
        <v>2861.5</v>
      </c>
    </row>
    <row r="799" spans="1:15">
      <c r="A799" s="8" t="s">
        <v>1011</v>
      </c>
      <c r="B799" s="9">
        <v>45103</v>
      </c>
      <c r="C799" s="10">
        <v>2023</v>
      </c>
      <c r="D799" s="8" t="s">
        <v>100</v>
      </c>
      <c r="E799" s="8" t="s">
        <v>24</v>
      </c>
      <c r="F799" s="8" t="s">
        <v>25</v>
      </c>
      <c r="G799" s="8" t="s">
        <v>53</v>
      </c>
      <c r="H799" s="8" t="s">
        <v>54</v>
      </c>
      <c r="I799" s="8" t="s">
        <v>268</v>
      </c>
      <c r="J799" s="11">
        <v>4</v>
      </c>
      <c r="K799" s="12">
        <v>2900</v>
      </c>
      <c r="L799" s="12">
        <f t="shared" si="36"/>
        <v>11600</v>
      </c>
      <c r="M799" s="13">
        <v>0</v>
      </c>
      <c r="N799" s="12">
        <f t="shared" si="37"/>
        <v>0</v>
      </c>
      <c r="O799" s="12">
        <f t="shared" si="38"/>
        <v>11600</v>
      </c>
    </row>
    <row r="800" spans="1:15">
      <c r="A800" s="2" t="s">
        <v>1012</v>
      </c>
      <c r="B800" s="3">
        <v>45965</v>
      </c>
      <c r="C800" s="4">
        <v>2025</v>
      </c>
      <c r="D800" s="2" t="s">
        <v>41</v>
      </c>
      <c r="E800" s="2" t="s">
        <v>42</v>
      </c>
      <c r="F800" s="2" t="s">
        <v>43</v>
      </c>
      <c r="G800" s="2" t="s">
        <v>19</v>
      </c>
      <c r="H800" s="2" t="s">
        <v>116</v>
      </c>
      <c r="I800" s="2" t="s">
        <v>156</v>
      </c>
      <c r="J800" s="5">
        <v>6</v>
      </c>
      <c r="K800" s="6">
        <v>300</v>
      </c>
      <c r="L800" s="6">
        <f t="shared" si="36"/>
        <v>1800</v>
      </c>
      <c r="M800" s="7">
        <v>0</v>
      </c>
      <c r="N800" s="6">
        <f t="shared" si="37"/>
        <v>0</v>
      </c>
      <c r="O800" s="6">
        <f t="shared" si="38"/>
        <v>1800</v>
      </c>
    </row>
    <row r="801" spans="1:15">
      <c r="A801" s="8" t="s">
        <v>1013</v>
      </c>
      <c r="B801" s="9">
        <v>45809</v>
      </c>
      <c r="C801" s="10">
        <v>2025</v>
      </c>
      <c r="D801" s="8" t="s">
        <v>100</v>
      </c>
      <c r="E801" s="8" t="s">
        <v>17</v>
      </c>
      <c r="F801" s="8" t="s">
        <v>18</v>
      </c>
      <c r="G801" s="8" t="s">
        <v>31</v>
      </c>
      <c r="H801" s="8" t="s">
        <v>124</v>
      </c>
      <c r="I801" s="8" t="s">
        <v>188</v>
      </c>
      <c r="J801" s="11">
        <v>2</v>
      </c>
      <c r="K801" s="12">
        <v>800</v>
      </c>
      <c r="L801" s="12">
        <f t="shared" si="36"/>
        <v>1600</v>
      </c>
      <c r="M801" s="13">
        <v>0</v>
      </c>
      <c r="N801" s="12">
        <f t="shared" si="37"/>
        <v>0</v>
      </c>
      <c r="O801" s="12">
        <f t="shared" si="38"/>
        <v>1600</v>
      </c>
    </row>
    <row r="802" spans="1:15">
      <c r="A802" s="2" t="s">
        <v>1014</v>
      </c>
      <c r="B802" s="3">
        <v>45184</v>
      </c>
      <c r="C802" s="4">
        <v>2023</v>
      </c>
      <c r="D802" s="2" t="s">
        <v>123</v>
      </c>
      <c r="E802" s="2" t="s">
        <v>24</v>
      </c>
      <c r="F802" s="2" t="s">
        <v>25</v>
      </c>
      <c r="G802" s="2" t="s">
        <v>31</v>
      </c>
      <c r="H802" s="2" t="s">
        <v>124</v>
      </c>
      <c r="I802" s="2" t="s">
        <v>125</v>
      </c>
      <c r="J802" s="5">
        <v>4</v>
      </c>
      <c r="K802" s="6">
        <v>750</v>
      </c>
      <c r="L802" s="6">
        <f t="shared" si="36"/>
        <v>3000</v>
      </c>
      <c r="M802" s="7">
        <v>1.7999999999999999E-2</v>
      </c>
      <c r="N802" s="6">
        <f t="shared" si="37"/>
        <v>53.999999999999993</v>
      </c>
      <c r="O802" s="6">
        <f t="shared" si="38"/>
        <v>2946</v>
      </c>
    </row>
    <row r="803" spans="1:15">
      <c r="A803" s="8" t="s">
        <v>1015</v>
      </c>
      <c r="B803" s="9">
        <v>45347</v>
      </c>
      <c r="C803" s="10">
        <v>2024</v>
      </c>
      <c r="D803" s="8" t="s">
        <v>23</v>
      </c>
      <c r="E803" s="8" t="s">
        <v>35</v>
      </c>
      <c r="F803" s="8" t="s">
        <v>36</v>
      </c>
      <c r="G803" s="8" t="s">
        <v>53</v>
      </c>
      <c r="H803" s="8" t="s">
        <v>54</v>
      </c>
      <c r="I803" s="8" t="s">
        <v>55</v>
      </c>
      <c r="J803" s="11">
        <v>2</v>
      </c>
      <c r="K803" s="12">
        <v>3250</v>
      </c>
      <c r="L803" s="12">
        <f t="shared" si="36"/>
        <v>6500</v>
      </c>
      <c r="M803" s="13">
        <v>0.124</v>
      </c>
      <c r="N803" s="12">
        <f t="shared" si="37"/>
        <v>806</v>
      </c>
      <c r="O803" s="12">
        <f t="shared" si="38"/>
        <v>5694</v>
      </c>
    </row>
    <row r="804" spans="1:15">
      <c r="A804" s="2" t="s">
        <v>1016</v>
      </c>
      <c r="B804" s="3">
        <v>45962</v>
      </c>
      <c r="C804" s="4">
        <v>2025</v>
      </c>
      <c r="D804" s="2" t="s">
        <v>41</v>
      </c>
      <c r="E804" s="2" t="s">
        <v>24</v>
      </c>
      <c r="F804" s="2" t="s">
        <v>25</v>
      </c>
      <c r="G804" s="2" t="s">
        <v>64</v>
      </c>
      <c r="H804" s="2" t="s">
        <v>65</v>
      </c>
      <c r="I804" s="2" t="s">
        <v>206</v>
      </c>
      <c r="J804" s="5">
        <v>1</v>
      </c>
      <c r="K804" s="6">
        <v>600</v>
      </c>
      <c r="L804" s="6">
        <f t="shared" si="36"/>
        <v>600</v>
      </c>
      <c r="M804" s="7">
        <v>0.187</v>
      </c>
      <c r="N804" s="6">
        <f t="shared" si="37"/>
        <v>112.2</v>
      </c>
      <c r="O804" s="6">
        <f t="shared" si="38"/>
        <v>487.8</v>
      </c>
    </row>
    <row r="805" spans="1:15">
      <c r="A805" s="8" t="s">
        <v>1017</v>
      </c>
      <c r="B805" s="9">
        <v>45377</v>
      </c>
      <c r="C805" s="10">
        <v>2024</v>
      </c>
      <c r="D805" s="8" t="s">
        <v>78</v>
      </c>
      <c r="E805" s="8" t="s">
        <v>42</v>
      </c>
      <c r="F805" s="8" t="s">
        <v>43</v>
      </c>
      <c r="G805" s="8" t="s">
        <v>26</v>
      </c>
      <c r="H805" s="8" t="s">
        <v>110</v>
      </c>
      <c r="I805" s="8" t="s">
        <v>111</v>
      </c>
      <c r="J805" s="11">
        <v>2</v>
      </c>
      <c r="K805" s="12">
        <v>14000</v>
      </c>
      <c r="L805" s="12">
        <f t="shared" si="36"/>
        <v>28000</v>
      </c>
      <c r="M805" s="13">
        <v>0</v>
      </c>
      <c r="N805" s="12">
        <f t="shared" si="37"/>
        <v>0</v>
      </c>
      <c r="O805" s="12">
        <f t="shared" si="38"/>
        <v>28000</v>
      </c>
    </row>
    <row r="806" spans="1:15">
      <c r="A806" s="2" t="s">
        <v>1018</v>
      </c>
      <c r="B806" s="3">
        <v>45424</v>
      </c>
      <c r="C806" s="4">
        <v>2024</v>
      </c>
      <c r="D806" s="2" t="s">
        <v>48</v>
      </c>
      <c r="E806" s="2" t="s">
        <v>35</v>
      </c>
      <c r="F806" s="2" t="s">
        <v>36</v>
      </c>
      <c r="G806" s="2" t="s">
        <v>26</v>
      </c>
      <c r="H806" s="2" t="s">
        <v>101</v>
      </c>
      <c r="I806" s="2" t="s">
        <v>235</v>
      </c>
      <c r="J806" s="5">
        <v>1</v>
      </c>
      <c r="K806" s="6">
        <v>64500</v>
      </c>
      <c r="L806" s="6">
        <f t="shared" si="36"/>
        <v>64500</v>
      </c>
      <c r="M806" s="7">
        <v>0</v>
      </c>
      <c r="N806" s="6">
        <f t="shared" si="37"/>
        <v>0</v>
      </c>
      <c r="O806" s="6">
        <f t="shared" si="38"/>
        <v>64500</v>
      </c>
    </row>
    <row r="807" spans="1:15">
      <c r="A807" s="8" t="s">
        <v>1019</v>
      </c>
      <c r="B807" s="9">
        <v>45622</v>
      </c>
      <c r="C807" s="10">
        <v>2024</v>
      </c>
      <c r="D807" s="8" t="s">
        <v>41</v>
      </c>
      <c r="E807" s="8" t="s">
        <v>42</v>
      </c>
      <c r="F807" s="8" t="s">
        <v>43</v>
      </c>
      <c r="G807" s="8" t="s">
        <v>31</v>
      </c>
      <c r="H807" s="8" t="s">
        <v>81</v>
      </c>
      <c r="I807" s="8" t="s">
        <v>186</v>
      </c>
      <c r="J807" s="11">
        <v>10</v>
      </c>
      <c r="K807" s="12">
        <v>400</v>
      </c>
      <c r="L807" s="12">
        <f t="shared" si="36"/>
        <v>4000</v>
      </c>
      <c r="M807" s="13">
        <v>0</v>
      </c>
      <c r="N807" s="12">
        <f t="shared" si="37"/>
        <v>0</v>
      </c>
      <c r="O807" s="12">
        <f t="shared" si="38"/>
        <v>4000</v>
      </c>
    </row>
    <row r="808" spans="1:15">
      <c r="A808" s="2" t="s">
        <v>1020</v>
      </c>
      <c r="B808" s="3">
        <v>45644</v>
      </c>
      <c r="C808" s="4">
        <v>2024</v>
      </c>
      <c r="D808" s="2" t="s">
        <v>16</v>
      </c>
      <c r="E808" s="2" t="s">
        <v>42</v>
      </c>
      <c r="F808" s="2" t="s">
        <v>43</v>
      </c>
      <c r="G808" s="2" t="s">
        <v>53</v>
      </c>
      <c r="H808" s="2" t="s">
        <v>193</v>
      </c>
      <c r="I808" s="2" t="s">
        <v>334</v>
      </c>
      <c r="J808" s="5">
        <v>4</v>
      </c>
      <c r="K808" s="6">
        <v>700</v>
      </c>
      <c r="L808" s="6">
        <f t="shared" si="36"/>
        <v>2800</v>
      </c>
      <c r="M808" s="7">
        <v>5.3999999999999999E-2</v>
      </c>
      <c r="N808" s="6">
        <f t="shared" si="37"/>
        <v>151.19999999999999</v>
      </c>
      <c r="O808" s="6">
        <f t="shared" si="38"/>
        <v>2648.8</v>
      </c>
    </row>
    <row r="809" spans="1:15">
      <c r="A809" s="8" t="s">
        <v>1021</v>
      </c>
      <c r="B809" s="9">
        <v>45658</v>
      </c>
      <c r="C809" s="10">
        <v>2025</v>
      </c>
      <c r="D809" s="8" t="s">
        <v>169</v>
      </c>
      <c r="E809" s="8" t="s">
        <v>42</v>
      </c>
      <c r="F809" s="8" t="s">
        <v>43</v>
      </c>
      <c r="G809" s="8" t="s">
        <v>64</v>
      </c>
      <c r="H809" s="8" t="s">
        <v>65</v>
      </c>
      <c r="I809" s="8" t="s">
        <v>206</v>
      </c>
      <c r="J809" s="11">
        <v>3</v>
      </c>
      <c r="K809" s="12">
        <v>1800</v>
      </c>
      <c r="L809" s="12">
        <f t="shared" si="36"/>
        <v>5400</v>
      </c>
      <c r="M809" s="13">
        <v>0.11799999999999999</v>
      </c>
      <c r="N809" s="12">
        <f t="shared" si="37"/>
        <v>637.19999999999993</v>
      </c>
      <c r="O809" s="12">
        <f t="shared" si="38"/>
        <v>4762.8</v>
      </c>
    </row>
    <row r="810" spans="1:15">
      <c r="A810" s="2" t="s">
        <v>1022</v>
      </c>
      <c r="B810" s="3">
        <v>45772</v>
      </c>
      <c r="C810" s="4">
        <v>2025</v>
      </c>
      <c r="D810" s="2" t="s">
        <v>30</v>
      </c>
      <c r="E810" s="2" t="s">
        <v>24</v>
      </c>
      <c r="F810" s="2" t="s">
        <v>25</v>
      </c>
      <c r="G810" s="2" t="s">
        <v>57</v>
      </c>
      <c r="H810" s="2" t="s">
        <v>75</v>
      </c>
      <c r="I810" s="2" t="s">
        <v>144</v>
      </c>
      <c r="J810" s="5">
        <v>1</v>
      </c>
      <c r="K810" s="6">
        <v>1250</v>
      </c>
      <c r="L810" s="6">
        <f t="shared" si="36"/>
        <v>1250</v>
      </c>
      <c r="M810" s="7">
        <v>0</v>
      </c>
      <c r="N810" s="6">
        <f t="shared" si="37"/>
        <v>0</v>
      </c>
      <c r="O810" s="6">
        <f t="shared" si="38"/>
        <v>1250</v>
      </c>
    </row>
    <row r="811" spans="1:15">
      <c r="A811" s="8" t="s">
        <v>1023</v>
      </c>
      <c r="B811" s="9">
        <v>45365</v>
      </c>
      <c r="C811" s="10">
        <v>2024</v>
      </c>
      <c r="D811" s="8" t="s">
        <v>78</v>
      </c>
      <c r="E811" s="8" t="s">
        <v>24</v>
      </c>
      <c r="F811" s="8" t="s">
        <v>25</v>
      </c>
      <c r="G811" s="8" t="s">
        <v>26</v>
      </c>
      <c r="H811" s="8" t="s">
        <v>101</v>
      </c>
      <c r="I811" s="8" t="s">
        <v>102</v>
      </c>
      <c r="J811" s="11">
        <v>1</v>
      </c>
      <c r="K811" s="12">
        <v>11500</v>
      </c>
      <c r="L811" s="12">
        <f t="shared" si="36"/>
        <v>11500</v>
      </c>
      <c r="M811" s="13">
        <v>8.4000000000000005E-2</v>
      </c>
      <c r="N811" s="12">
        <f t="shared" si="37"/>
        <v>966.00000000000011</v>
      </c>
      <c r="O811" s="12">
        <f t="shared" si="38"/>
        <v>10534</v>
      </c>
    </row>
    <row r="812" spans="1:15">
      <c r="A812" s="2" t="s">
        <v>1024</v>
      </c>
      <c r="B812" s="3">
        <v>45523</v>
      </c>
      <c r="C812" s="4">
        <v>2024</v>
      </c>
      <c r="D812" s="2" t="s">
        <v>52</v>
      </c>
      <c r="E812" s="2" t="s">
        <v>42</v>
      </c>
      <c r="F812" s="2" t="s">
        <v>43</v>
      </c>
      <c r="G812" s="2" t="s">
        <v>44</v>
      </c>
      <c r="H812" s="2" t="s">
        <v>223</v>
      </c>
      <c r="I812" s="2" t="s">
        <v>320</v>
      </c>
      <c r="J812" s="5">
        <v>1</v>
      </c>
      <c r="K812" s="6">
        <v>450</v>
      </c>
      <c r="L812" s="6">
        <f t="shared" si="36"/>
        <v>450</v>
      </c>
      <c r="M812" s="7">
        <v>0</v>
      </c>
      <c r="N812" s="6">
        <f t="shared" si="37"/>
        <v>0</v>
      </c>
      <c r="O812" s="6">
        <f t="shared" si="38"/>
        <v>450</v>
      </c>
    </row>
    <row r="813" spans="1:15">
      <c r="A813" s="8" t="s">
        <v>1025</v>
      </c>
      <c r="B813" s="9">
        <v>45704</v>
      </c>
      <c r="C813" s="10">
        <v>2025</v>
      </c>
      <c r="D813" s="8" t="s">
        <v>23</v>
      </c>
      <c r="E813" s="8" t="s">
        <v>17</v>
      </c>
      <c r="F813" s="8" t="s">
        <v>18</v>
      </c>
      <c r="G813" s="8" t="s">
        <v>64</v>
      </c>
      <c r="H813" s="8" t="s">
        <v>97</v>
      </c>
      <c r="I813" s="8" t="s">
        <v>212</v>
      </c>
      <c r="J813" s="11">
        <v>1</v>
      </c>
      <c r="K813" s="12">
        <v>1750</v>
      </c>
      <c r="L813" s="12">
        <f t="shared" si="36"/>
        <v>1750</v>
      </c>
      <c r="M813" s="13">
        <v>0.17499999999999999</v>
      </c>
      <c r="N813" s="12">
        <f t="shared" si="37"/>
        <v>306.25</v>
      </c>
      <c r="O813" s="12">
        <f t="shared" si="38"/>
        <v>1443.75</v>
      </c>
    </row>
    <row r="814" spans="1:15">
      <c r="A814" s="2" t="s">
        <v>1026</v>
      </c>
      <c r="B814" s="3">
        <v>45017</v>
      </c>
      <c r="C814" s="4">
        <v>2023</v>
      </c>
      <c r="D814" s="2" t="s">
        <v>30</v>
      </c>
      <c r="E814" s="2" t="s">
        <v>24</v>
      </c>
      <c r="F814" s="2" t="s">
        <v>25</v>
      </c>
      <c r="G814" s="2" t="s">
        <v>19</v>
      </c>
      <c r="H814" s="2" t="s">
        <v>107</v>
      </c>
      <c r="I814" s="2" t="s">
        <v>108</v>
      </c>
      <c r="J814" s="5">
        <v>2</v>
      </c>
      <c r="K814" s="6">
        <v>2450</v>
      </c>
      <c r="L814" s="6">
        <f t="shared" si="36"/>
        <v>4900</v>
      </c>
      <c r="M814" s="7">
        <v>4.8000000000000001E-2</v>
      </c>
      <c r="N814" s="6">
        <f t="shared" si="37"/>
        <v>235.20000000000002</v>
      </c>
      <c r="O814" s="6">
        <f t="shared" si="38"/>
        <v>4664.8</v>
      </c>
    </row>
    <row r="815" spans="1:15">
      <c r="A815" s="8" t="s">
        <v>1027</v>
      </c>
      <c r="B815" s="9">
        <v>45504</v>
      </c>
      <c r="C815" s="10">
        <v>2024</v>
      </c>
      <c r="D815" s="8" t="s">
        <v>68</v>
      </c>
      <c r="E815" s="8" t="s">
        <v>24</v>
      </c>
      <c r="F815" s="8" t="s">
        <v>25</v>
      </c>
      <c r="G815" s="8" t="s">
        <v>37</v>
      </c>
      <c r="H815" s="8" t="s">
        <v>38</v>
      </c>
      <c r="I815" s="8" t="s">
        <v>89</v>
      </c>
      <c r="J815" s="11">
        <v>1</v>
      </c>
      <c r="K815" s="12">
        <v>1500</v>
      </c>
      <c r="L815" s="12">
        <f t="shared" si="36"/>
        <v>1500</v>
      </c>
      <c r="M815" s="13">
        <v>0</v>
      </c>
      <c r="N815" s="12">
        <f t="shared" si="37"/>
        <v>0</v>
      </c>
      <c r="O815" s="12">
        <f t="shared" si="38"/>
        <v>1500</v>
      </c>
    </row>
    <row r="816" spans="1:15">
      <c r="A816" s="2" t="s">
        <v>1028</v>
      </c>
      <c r="B816" s="3">
        <v>44968</v>
      </c>
      <c r="C816" s="4">
        <v>2023</v>
      </c>
      <c r="D816" s="2" t="s">
        <v>23</v>
      </c>
      <c r="E816" s="2" t="s">
        <v>42</v>
      </c>
      <c r="F816" s="2" t="s">
        <v>43</v>
      </c>
      <c r="G816" s="2" t="s">
        <v>31</v>
      </c>
      <c r="H816" s="2" t="s">
        <v>32</v>
      </c>
      <c r="I816" s="2" t="s">
        <v>257</v>
      </c>
      <c r="J816" s="5">
        <v>8</v>
      </c>
      <c r="K816" s="6">
        <v>800</v>
      </c>
      <c r="L816" s="6">
        <f t="shared" si="36"/>
        <v>6400</v>
      </c>
      <c r="M816" s="7">
        <v>2.3E-2</v>
      </c>
      <c r="N816" s="6">
        <f t="shared" si="37"/>
        <v>147.19999999999999</v>
      </c>
      <c r="O816" s="6">
        <f t="shared" si="38"/>
        <v>6252.8</v>
      </c>
    </row>
    <row r="817" spans="1:15">
      <c r="A817" s="8" t="s">
        <v>1029</v>
      </c>
      <c r="B817" s="9">
        <v>45565</v>
      </c>
      <c r="C817" s="10">
        <v>2024</v>
      </c>
      <c r="D817" s="8" t="s">
        <v>123</v>
      </c>
      <c r="E817" s="8" t="s">
        <v>24</v>
      </c>
      <c r="F817" s="8" t="s">
        <v>25</v>
      </c>
      <c r="G817" s="8" t="s">
        <v>64</v>
      </c>
      <c r="H817" s="8" t="s">
        <v>94</v>
      </c>
      <c r="I817" s="8" t="s">
        <v>601</v>
      </c>
      <c r="J817" s="11">
        <v>1</v>
      </c>
      <c r="K817" s="12">
        <v>1350</v>
      </c>
      <c r="L817" s="12">
        <f t="shared" si="36"/>
        <v>1350</v>
      </c>
      <c r="M817" s="13">
        <v>0.19500000000000001</v>
      </c>
      <c r="N817" s="12">
        <f t="shared" si="37"/>
        <v>263.25</v>
      </c>
      <c r="O817" s="12">
        <f t="shared" si="38"/>
        <v>1086.75</v>
      </c>
    </row>
    <row r="818" spans="1:15">
      <c r="A818" s="2" t="s">
        <v>1030</v>
      </c>
      <c r="B818" s="3">
        <v>45626</v>
      </c>
      <c r="C818" s="4">
        <v>2024</v>
      </c>
      <c r="D818" s="2" t="s">
        <v>41</v>
      </c>
      <c r="E818" s="2" t="s">
        <v>42</v>
      </c>
      <c r="F818" s="2" t="s">
        <v>43</v>
      </c>
      <c r="G818" s="2" t="s">
        <v>26</v>
      </c>
      <c r="H818" s="2" t="s">
        <v>113</v>
      </c>
      <c r="I818" s="2" t="s">
        <v>114</v>
      </c>
      <c r="J818" s="5">
        <v>1</v>
      </c>
      <c r="K818" s="6">
        <v>45000</v>
      </c>
      <c r="L818" s="6">
        <f t="shared" si="36"/>
        <v>45000</v>
      </c>
      <c r="M818" s="7">
        <v>0</v>
      </c>
      <c r="N818" s="6">
        <f t="shared" si="37"/>
        <v>0</v>
      </c>
      <c r="O818" s="6">
        <f t="shared" si="38"/>
        <v>45000</v>
      </c>
    </row>
    <row r="819" spans="1:15">
      <c r="A819" s="8" t="s">
        <v>1031</v>
      </c>
      <c r="B819" s="9">
        <v>45886</v>
      </c>
      <c r="C819" s="10">
        <v>2025</v>
      </c>
      <c r="D819" s="8" t="s">
        <v>52</v>
      </c>
      <c r="E819" s="8" t="s">
        <v>42</v>
      </c>
      <c r="F819" s="8" t="s">
        <v>43</v>
      </c>
      <c r="G819" s="8" t="s">
        <v>44</v>
      </c>
      <c r="H819" s="8" t="s">
        <v>223</v>
      </c>
      <c r="I819" s="8" t="s">
        <v>297</v>
      </c>
      <c r="J819" s="11">
        <v>12</v>
      </c>
      <c r="K819" s="12">
        <v>1100</v>
      </c>
      <c r="L819" s="12">
        <f t="shared" si="36"/>
        <v>13200</v>
      </c>
      <c r="M819" s="13">
        <v>0</v>
      </c>
      <c r="N819" s="12">
        <f t="shared" si="37"/>
        <v>0</v>
      </c>
      <c r="O819" s="12">
        <f t="shared" si="38"/>
        <v>13200</v>
      </c>
    </row>
    <row r="820" spans="1:15">
      <c r="A820" s="2" t="s">
        <v>1032</v>
      </c>
      <c r="B820" s="3">
        <v>45162</v>
      </c>
      <c r="C820" s="4">
        <v>2023</v>
      </c>
      <c r="D820" s="2" t="s">
        <v>52</v>
      </c>
      <c r="E820" s="2" t="s">
        <v>35</v>
      </c>
      <c r="F820" s="2" t="s">
        <v>36</v>
      </c>
      <c r="G820" s="2" t="s">
        <v>64</v>
      </c>
      <c r="H820" s="2" t="s">
        <v>127</v>
      </c>
      <c r="I820" s="2" t="s">
        <v>255</v>
      </c>
      <c r="J820" s="5">
        <v>2</v>
      </c>
      <c r="K820" s="6">
        <v>4300</v>
      </c>
      <c r="L820" s="6">
        <f t="shared" si="36"/>
        <v>8600</v>
      </c>
      <c r="M820" s="7">
        <v>0.124</v>
      </c>
      <c r="N820" s="6">
        <f t="shared" si="37"/>
        <v>1066.4000000000001</v>
      </c>
      <c r="O820" s="6">
        <f t="shared" si="38"/>
        <v>7533.6</v>
      </c>
    </row>
    <row r="821" spans="1:15">
      <c r="A821" s="8" t="s">
        <v>1033</v>
      </c>
      <c r="B821" s="9">
        <v>45474</v>
      </c>
      <c r="C821" s="10">
        <v>2024</v>
      </c>
      <c r="D821" s="8" t="s">
        <v>68</v>
      </c>
      <c r="E821" s="8" t="s">
        <v>24</v>
      </c>
      <c r="F821" s="8" t="s">
        <v>25</v>
      </c>
      <c r="G821" s="8" t="s">
        <v>31</v>
      </c>
      <c r="H821" s="8" t="s">
        <v>32</v>
      </c>
      <c r="I821" s="8" t="s">
        <v>257</v>
      </c>
      <c r="J821" s="11">
        <v>3</v>
      </c>
      <c r="K821" s="12">
        <v>200</v>
      </c>
      <c r="L821" s="12">
        <f t="shared" si="36"/>
        <v>600</v>
      </c>
      <c r="M821" s="13">
        <v>0</v>
      </c>
      <c r="N821" s="12">
        <f t="shared" si="37"/>
        <v>0</v>
      </c>
      <c r="O821" s="12">
        <f t="shared" si="38"/>
        <v>600</v>
      </c>
    </row>
    <row r="822" spans="1:15">
      <c r="A822" s="2" t="s">
        <v>1034</v>
      </c>
      <c r="B822" s="3">
        <v>45084</v>
      </c>
      <c r="C822" s="4">
        <v>2023</v>
      </c>
      <c r="D822" s="2" t="s">
        <v>100</v>
      </c>
      <c r="E822" s="2" t="s">
        <v>42</v>
      </c>
      <c r="F822" s="2" t="s">
        <v>43</v>
      </c>
      <c r="G822" s="2" t="s">
        <v>19</v>
      </c>
      <c r="H822" s="2" t="s">
        <v>69</v>
      </c>
      <c r="I822" s="2" t="s">
        <v>407</v>
      </c>
      <c r="J822" s="5">
        <v>1</v>
      </c>
      <c r="K822" s="6">
        <v>290</v>
      </c>
      <c r="L822" s="6">
        <f t="shared" si="36"/>
        <v>290</v>
      </c>
      <c r="M822" s="7">
        <v>0</v>
      </c>
      <c r="N822" s="6">
        <f t="shared" si="37"/>
        <v>0</v>
      </c>
      <c r="O822" s="6">
        <f t="shared" si="38"/>
        <v>290</v>
      </c>
    </row>
    <row r="823" spans="1:15">
      <c r="A823" s="8" t="s">
        <v>1035</v>
      </c>
      <c r="B823" s="9">
        <v>45951</v>
      </c>
      <c r="C823" s="10">
        <v>2025</v>
      </c>
      <c r="D823" s="8" t="s">
        <v>72</v>
      </c>
      <c r="E823" s="8" t="s">
        <v>17</v>
      </c>
      <c r="F823" s="8" t="s">
        <v>18</v>
      </c>
      <c r="G823" s="8" t="s">
        <v>31</v>
      </c>
      <c r="H823" s="8" t="s">
        <v>84</v>
      </c>
      <c r="I823" s="8" t="s">
        <v>85</v>
      </c>
      <c r="J823" s="11">
        <v>3</v>
      </c>
      <c r="K823" s="12">
        <v>470</v>
      </c>
      <c r="L823" s="12">
        <f t="shared" si="36"/>
        <v>1410</v>
      </c>
      <c r="M823" s="13">
        <v>0</v>
      </c>
      <c r="N823" s="12">
        <f t="shared" si="37"/>
        <v>0</v>
      </c>
      <c r="O823" s="12">
        <f t="shared" si="38"/>
        <v>1410</v>
      </c>
    </row>
    <row r="824" spans="1:15">
      <c r="A824" s="2" t="s">
        <v>1036</v>
      </c>
      <c r="B824" s="3">
        <v>45782</v>
      </c>
      <c r="C824" s="4">
        <v>2025</v>
      </c>
      <c r="D824" s="2" t="s">
        <v>48</v>
      </c>
      <c r="E824" s="2" t="s">
        <v>35</v>
      </c>
      <c r="F824" s="2" t="s">
        <v>36</v>
      </c>
      <c r="G824" s="2" t="s">
        <v>31</v>
      </c>
      <c r="H824" s="2" t="s">
        <v>32</v>
      </c>
      <c r="I824" s="2" t="s">
        <v>276</v>
      </c>
      <c r="J824" s="5">
        <v>5</v>
      </c>
      <c r="K824" s="6">
        <v>150</v>
      </c>
      <c r="L824" s="6">
        <f t="shared" si="36"/>
        <v>750</v>
      </c>
      <c r="M824" s="7">
        <v>1.9E-2</v>
      </c>
      <c r="N824" s="6">
        <f t="shared" si="37"/>
        <v>14.25</v>
      </c>
      <c r="O824" s="6">
        <f t="shared" si="38"/>
        <v>735.75</v>
      </c>
    </row>
    <row r="825" spans="1:15">
      <c r="A825" s="8" t="s">
        <v>1037</v>
      </c>
      <c r="B825" s="9">
        <v>44947</v>
      </c>
      <c r="C825" s="10">
        <v>2023</v>
      </c>
      <c r="D825" s="8" t="s">
        <v>169</v>
      </c>
      <c r="E825" s="8" t="s">
        <v>24</v>
      </c>
      <c r="F825" s="8" t="s">
        <v>25</v>
      </c>
      <c r="G825" s="8" t="s">
        <v>64</v>
      </c>
      <c r="H825" s="8" t="s">
        <v>127</v>
      </c>
      <c r="I825" s="8" t="s">
        <v>128</v>
      </c>
      <c r="J825" s="11">
        <v>1</v>
      </c>
      <c r="K825" s="12">
        <v>3500</v>
      </c>
      <c r="L825" s="12">
        <f t="shared" si="36"/>
        <v>3500</v>
      </c>
      <c r="M825" s="13">
        <v>0.215</v>
      </c>
      <c r="N825" s="12">
        <f t="shared" si="37"/>
        <v>752.5</v>
      </c>
      <c r="O825" s="12">
        <f t="shared" si="38"/>
        <v>2747.5</v>
      </c>
    </row>
    <row r="826" spans="1:15">
      <c r="A826" s="2" t="s">
        <v>1038</v>
      </c>
      <c r="B826" s="3">
        <v>44957</v>
      </c>
      <c r="C826" s="4">
        <v>2023</v>
      </c>
      <c r="D826" s="2" t="s">
        <v>169</v>
      </c>
      <c r="E826" s="2" t="s">
        <v>24</v>
      </c>
      <c r="F826" s="2" t="s">
        <v>25</v>
      </c>
      <c r="G826" s="2" t="s">
        <v>19</v>
      </c>
      <c r="H826" s="2" t="s">
        <v>271</v>
      </c>
      <c r="I826" s="2" t="s">
        <v>272</v>
      </c>
      <c r="J826" s="5">
        <v>3</v>
      </c>
      <c r="K826" s="6">
        <v>1150</v>
      </c>
      <c r="L826" s="6">
        <f t="shared" si="36"/>
        <v>3450</v>
      </c>
      <c r="M826" s="7">
        <v>1.6E-2</v>
      </c>
      <c r="N826" s="6">
        <f t="shared" si="37"/>
        <v>55.2</v>
      </c>
      <c r="O826" s="6">
        <f t="shared" si="38"/>
        <v>3394.8</v>
      </c>
    </row>
    <row r="827" spans="1:15">
      <c r="A827" s="8" t="s">
        <v>1039</v>
      </c>
      <c r="B827" s="9">
        <v>45018</v>
      </c>
      <c r="C827" s="10">
        <v>2023</v>
      </c>
      <c r="D827" s="8" t="s">
        <v>30</v>
      </c>
      <c r="E827" s="8" t="s">
        <v>17</v>
      </c>
      <c r="F827" s="8" t="s">
        <v>18</v>
      </c>
      <c r="G827" s="8" t="s">
        <v>31</v>
      </c>
      <c r="H827" s="8" t="s">
        <v>32</v>
      </c>
      <c r="I827" s="8" t="s">
        <v>276</v>
      </c>
      <c r="J827" s="11">
        <v>2</v>
      </c>
      <c r="K827" s="12">
        <v>950</v>
      </c>
      <c r="L827" s="12">
        <f t="shared" si="36"/>
        <v>1900</v>
      </c>
      <c r="M827" s="13">
        <v>3.2000000000000001E-2</v>
      </c>
      <c r="N827" s="12">
        <f t="shared" si="37"/>
        <v>60.800000000000004</v>
      </c>
      <c r="O827" s="12">
        <f t="shared" si="38"/>
        <v>1839.2</v>
      </c>
    </row>
    <row r="828" spans="1:15">
      <c r="A828" s="2" t="s">
        <v>1040</v>
      </c>
      <c r="B828" s="3">
        <v>46020</v>
      </c>
      <c r="C828" s="4">
        <v>2025</v>
      </c>
      <c r="D828" s="2" t="s">
        <v>16</v>
      </c>
      <c r="E828" s="2" t="s">
        <v>42</v>
      </c>
      <c r="F828" s="2" t="s">
        <v>43</v>
      </c>
      <c r="G828" s="2" t="s">
        <v>53</v>
      </c>
      <c r="H828" s="2" t="s">
        <v>193</v>
      </c>
      <c r="I828" s="2" t="s">
        <v>438</v>
      </c>
      <c r="J828" s="5">
        <v>1</v>
      </c>
      <c r="K828" s="6">
        <v>2200</v>
      </c>
      <c r="L828" s="6">
        <f t="shared" si="36"/>
        <v>2200</v>
      </c>
      <c r="M828" s="7">
        <v>0</v>
      </c>
      <c r="N828" s="6">
        <f t="shared" si="37"/>
        <v>0</v>
      </c>
      <c r="O828" s="6">
        <f t="shared" si="38"/>
        <v>2200</v>
      </c>
    </row>
    <row r="829" spans="1:15">
      <c r="A829" s="8" t="s">
        <v>1041</v>
      </c>
      <c r="B829" s="9">
        <v>45378</v>
      </c>
      <c r="C829" s="10">
        <v>2024</v>
      </c>
      <c r="D829" s="8" t="s">
        <v>78</v>
      </c>
      <c r="E829" s="8" t="s">
        <v>42</v>
      </c>
      <c r="F829" s="8" t="s">
        <v>43</v>
      </c>
      <c r="G829" s="8" t="s">
        <v>57</v>
      </c>
      <c r="H829" s="8" t="s">
        <v>75</v>
      </c>
      <c r="I829" s="8" t="s">
        <v>76</v>
      </c>
      <c r="J829" s="11">
        <v>1</v>
      </c>
      <c r="K829" s="12">
        <v>5500</v>
      </c>
      <c r="L829" s="12">
        <f t="shared" si="36"/>
        <v>5500</v>
      </c>
      <c r="M829" s="13">
        <v>0.13600000000000001</v>
      </c>
      <c r="N829" s="12">
        <f t="shared" si="37"/>
        <v>748</v>
      </c>
      <c r="O829" s="12">
        <f t="shared" si="38"/>
        <v>4752</v>
      </c>
    </row>
    <row r="830" spans="1:15">
      <c r="A830" s="2" t="s">
        <v>1042</v>
      </c>
      <c r="B830" s="3">
        <v>45404</v>
      </c>
      <c r="C830" s="4">
        <v>2024</v>
      </c>
      <c r="D830" s="2" t="s">
        <v>30</v>
      </c>
      <c r="E830" s="2" t="s">
        <v>24</v>
      </c>
      <c r="F830" s="2" t="s">
        <v>25</v>
      </c>
      <c r="G830" s="2" t="s">
        <v>19</v>
      </c>
      <c r="H830" s="2" t="s">
        <v>20</v>
      </c>
      <c r="I830" s="2" t="s">
        <v>250</v>
      </c>
      <c r="J830" s="5">
        <v>5</v>
      </c>
      <c r="K830" s="6">
        <v>1750</v>
      </c>
      <c r="L830" s="6">
        <f t="shared" si="36"/>
        <v>8750</v>
      </c>
      <c r="M830" s="7">
        <v>0</v>
      </c>
      <c r="N830" s="6">
        <f t="shared" si="37"/>
        <v>0</v>
      </c>
      <c r="O830" s="6">
        <f t="shared" si="38"/>
        <v>8750</v>
      </c>
    </row>
    <row r="831" spans="1:15">
      <c r="A831" s="8" t="s">
        <v>1043</v>
      </c>
      <c r="B831" s="9">
        <v>45505</v>
      </c>
      <c r="C831" s="10">
        <v>2024</v>
      </c>
      <c r="D831" s="8" t="s">
        <v>52</v>
      </c>
      <c r="E831" s="8" t="s">
        <v>35</v>
      </c>
      <c r="F831" s="8" t="s">
        <v>36</v>
      </c>
      <c r="G831" s="8" t="s">
        <v>19</v>
      </c>
      <c r="H831" s="8" t="s">
        <v>141</v>
      </c>
      <c r="I831" s="8" t="s">
        <v>392</v>
      </c>
      <c r="J831" s="11">
        <v>10</v>
      </c>
      <c r="K831" s="12">
        <v>2100</v>
      </c>
      <c r="L831" s="12">
        <f t="shared" si="36"/>
        <v>21000</v>
      </c>
      <c r="M831" s="13">
        <v>2.4E-2</v>
      </c>
      <c r="N831" s="12">
        <f t="shared" si="37"/>
        <v>504</v>
      </c>
      <c r="O831" s="12">
        <f t="shared" si="38"/>
        <v>20496</v>
      </c>
    </row>
    <row r="832" spans="1:15">
      <c r="A832" s="2" t="s">
        <v>1044</v>
      </c>
      <c r="B832" s="3">
        <v>45401</v>
      </c>
      <c r="C832" s="4">
        <v>2024</v>
      </c>
      <c r="D832" s="2" t="s">
        <v>30</v>
      </c>
      <c r="E832" s="2" t="s">
        <v>17</v>
      </c>
      <c r="F832" s="2" t="s">
        <v>18</v>
      </c>
      <c r="G832" s="2" t="s">
        <v>53</v>
      </c>
      <c r="H832" s="2" t="s">
        <v>136</v>
      </c>
      <c r="I832" s="2" t="s">
        <v>245</v>
      </c>
      <c r="J832" s="5">
        <v>1</v>
      </c>
      <c r="K832" s="6">
        <v>1750</v>
      </c>
      <c r="L832" s="6">
        <f t="shared" si="36"/>
        <v>1750</v>
      </c>
      <c r="M832" s="7">
        <v>0</v>
      </c>
      <c r="N832" s="6">
        <f t="shared" si="37"/>
        <v>0</v>
      </c>
      <c r="O832" s="6">
        <f t="shared" si="38"/>
        <v>1750</v>
      </c>
    </row>
    <row r="833" spans="1:15">
      <c r="A833" s="8" t="s">
        <v>1045</v>
      </c>
      <c r="B833" s="9">
        <v>45825</v>
      </c>
      <c r="C833" s="10">
        <v>2025</v>
      </c>
      <c r="D833" s="8" t="s">
        <v>100</v>
      </c>
      <c r="E833" s="8" t="s">
        <v>42</v>
      </c>
      <c r="F833" s="8" t="s">
        <v>43</v>
      </c>
      <c r="G833" s="8" t="s">
        <v>19</v>
      </c>
      <c r="H833" s="8" t="s">
        <v>69</v>
      </c>
      <c r="I833" s="8" t="s">
        <v>70</v>
      </c>
      <c r="J833" s="11">
        <v>3</v>
      </c>
      <c r="K833" s="12">
        <v>210</v>
      </c>
      <c r="L833" s="12">
        <f t="shared" si="36"/>
        <v>630</v>
      </c>
      <c r="M833" s="13">
        <v>3.5000000000000003E-2</v>
      </c>
      <c r="N833" s="12">
        <f t="shared" si="37"/>
        <v>22.05</v>
      </c>
      <c r="O833" s="12">
        <f t="shared" si="38"/>
        <v>607.95000000000005</v>
      </c>
    </row>
    <row r="834" spans="1:15">
      <c r="A834" s="2" t="s">
        <v>1046</v>
      </c>
      <c r="B834" s="3">
        <v>45379</v>
      </c>
      <c r="C834" s="4">
        <v>2024</v>
      </c>
      <c r="D834" s="2" t="s">
        <v>78</v>
      </c>
      <c r="E834" s="2" t="s">
        <v>35</v>
      </c>
      <c r="F834" s="2" t="s">
        <v>36</v>
      </c>
      <c r="G834" s="2" t="s">
        <v>64</v>
      </c>
      <c r="H834" s="2" t="s">
        <v>94</v>
      </c>
      <c r="I834" s="2" t="s">
        <v>420</v>
      </c>
      <c r="J834" s="5">
        <v>3</v>
      </c>
      <c r="K834" s="6">
        <v>2350</v>
      </c>
      <c r="L834" s="6">
        <f t="shared" ref="L834:L897" si="39">J834*K834</f>
        <v>7050</v>
      </c>
      <c r="M834" s="7">
        <v>0.14599999999999999</v>
      </c>
      <c r="N834" s="6">
        <f t="shared" ref="N834:N897" si="40">L834*M834</f>
        <v>1029.3</v>
      </c>
      <c r="O834" s="6">
        <f t="shared" ref="O834:O897" si="41">L834-N834</f>
        <v>6020.7</v>
      </c>
    </row>
    <row r="835" spans="1:15">
      <c r="A835" s="8" t="s">
        <v>1047</v>
      </c>
      <c r="B835" s="9">
        <v>45317</v>
      </c>
      <c r="C835" s="10">
        <v>2024</v>
      </c>
      <c r="D835" s="8" t="s">
        <v>169</v>
      </c>
      <c r="E835" s="8" t="s">
        <v>35</v>
      </c>
      <c r="F835" s="8" t="s">
        <v>36</v>
      </c>
      <c r="G835" s="8" t="s">
        <v>31</v>
      </c>
      <c r="H835" s="8" t="s">
        <v>124</v>
      </c>
      <c r="I835" s="8" t="s">
        <v>125</v>
      </c>
      <c r="J835" s="11">
        <v>1</v>
      </c>
      <c r="K835" s="12">
        <v>90</v>
      </c>
      <c r="L835" s="12">
        <f t="shared" si="39"/>
        <v>90</v>
      </c>
      <c r="M835" s="13">
        <v>0</v>
      </c>
      <c r="N835" s="12">
        <f t="shared" si="40"/>
        <v>0</v>
      </c>
      <c r="O835" s="12">
        <f t="shared" si="41"/>
        <v>90</v>
      </c>
    </row>
    <row r="836" spans="1:15">
      <c r="A836" s="2" t="s">
        <v>1048</v>
      </c>
      <c r="B836" s="3">
        <v>45792</v>
      </c>
      <c r="C836" s="4">
        <v>2025</v>
      </c>
      <c r="D836" s="2" t="s">
        <v>48</v>
      </c>
      <c r="E836" s="2" t="s">
        <v>24</v>
      </c>
      <c r="F836" s="2" t="s">
        <v>25</v>
      </c>
      <c r="G836" s="2" t="s">
        <v>64</v>
      </c>
      <c r="H836" s="2" t="s">
        <v>94</v>
      </c>
      <c r="I836" s="2" t="s">
        <v>420</v>
      </c>
      <c r="J836" s="5">
        <v>1</v>
      </c>
      <c r="K836" s="6">
        <v>1250</v>
      </c>
      <c r="L836" s="6">
        <f t="shared" si="39"/>
        <v>1250</v>
      </c>
      <c r="M836" s="7">
        <v>0</v>
      </c>
      <c r="N836" s="6">
        <f t="shared" si="40"/>
        <v>0</v>
      </c>
      <c r="O836" s="6">
        <f t="shared" si="41"/>
        <v>1250</v>
      </c>
    </row>
    <row r="837" spans="1:15">
      <c r="A837" s="8" t="s">
        <v>1049</v>
      </c>
      <c r="B837" s="9">
        <v>45901</v>
      </c>
      <c r="C837" s="10">
        <v>2025</v>
      </c>
      <c r="D837" s="8" t="s">
        <v>123</v>
      </c>
      <c r="E837" s="8" t="s">
        <v>35</v>
      </c>
      <c r="F837" s="8" t="s">
        <v>36</v>
      </c>
      <c r="G837" s="8" t="s">
        <v>31</v>
      </c>
      <c r="H837" s="8" t="s">
        <v>81</v>
      </c>
      <c r="I837" s="8" t="s">
        <v>186</v>
      </c>
      <c r="J837" s="11">
        <v>1</v>
      </c>
      <c r="K837" s="12">
        <v>1150</v>
      </c>
      <c r="L837" s="12">
        <f t="shared" si="39"/>
        <v>1150</v>
      </c>
      <c r="M837" s="13">
        <v>2.7E-2</v>
      </c>
      <c r="N837" s="12">
        <f t="shared" si="40"/>
        <v>31.05</v>
      </c>
      <c r="O837" s="12">
        <f t="shared" si="41"/>
        <v>1118.95</v>
      </c>
    </row>
    <row r="838" spans="1:15">
      <c r="A838" s="2" t="s">
        <v>1050</v>
      </c>
      <c r="B838" s="3">
        <v>45165</v>
      </c>
      <c r="C838" s="4">
        <v>2023</v>
      </c>
      <c r="D838" s="2" t="s">
        <v>52</v>
      </c>
      <c r="E838" s="2" t="s">
        <v>17</v>
      </c>
      <c r="F838" s="2" t="s">
        <v>18</v>
      </c>
      <c r="G838" s="2" t="s">
        <v>57</v>
      </c>
      <c r="H838" s="2" t="s">
        <v>200</v>
      </c>
      <c r="I838" s="2" t="s">
        <v>201</v>
      </c>
      <c r="J838" s="5">
        <v>1</v>
      </c>
      <c r="K838" s="6">
        <v>2400</v>
      </c>
      <c r="L838" s="6">
        <f t="shared" si="39"/>
        <v>2400</v>
      </c>
      <c r="M838" s="7">
        <v>6.6000000000000003E-2</v>
      </c>
      <c r="N838" s="6">
        <f t="shared" si="40"/>
        <v>158.4</v>
      </c>
      <c r="O838" s="6">
        <f t="shared" si="41"/>
        <v>2241.6</v>
      </c>
    </row>
    <row r="839" spans="1:15">
      <c r="A839" s="8" t="s">
        <v>1051</v>
      </c>
      <c r="B839" s="9">
        <v>45051</v>
      </c>
      <c r="C839" s="10">
        <v>2023</v>
      </c>
      <c r="D839" s="8" t="s">
        <v>48</v>
      </c>
      <c r="E839" s="8" t="s">
        <v>42</v>
      </c>
      <c r="F839" s="8" t="s">
        <v>43</v>
      </c>
      <c r="G839" s="8" t="s">
        <v>37</v>
      </c>
      <c r="H839" s="8" t="s">
        <v>49</v>
      </c>
      <c r="I839" s="8" t="s">
        <v>1052</v>
      </c>
      <c r="J839" s="11">
        <v>1</v>
      </c>
      <c r="K839" s="12">
        <v>2650</v>
      </c>
      <c r="L839" s="12">
        <f t="shared" si="39"/>
        <v>2650</v>
      </c>
      <c r="M839" s="13">
        <v>0.10100000000000001</v>
      </c>
      <c r="N839" s="12">
        <f t="shared" si="40"/>
        <v>267.65000000000003</v>
      </c>
      <c r="O839" s="12">
        <f t="shared" si="41"/>
        <v>2382.35</v>
      </c>
    </row>
    <row r="840" spans="1:15">
      <c r="A840" s="2" t="s">
        <v>1053</v>
      </c>
      <c r="B840" s="3">
        <v>45528</v>
      </c>
      <c r="C840" s="4">
        <v>2024</v>
      </c>
      <c r="D840" s="2" t="s">
        <v>52</v>
      </c>
      <c r="E840" s="2" t="s">
        <v>24</v>
      </c>
      <c r="F840" s="2" t="s">
        <v>25</v>
      </c>
      <c r="G840" s="2" t="s">
        <v>26</v>
      </c>
      <c r="H840" s="2" t="s">
        <v>113</v>
      </c>
      <c r="I840" s="2" t="s">
        <v>162</v>
      </c>
      <c r="J840" s="5">
        <v>1</v>
      </c>
      <c r="K840" s="6">
        <v>27500</v>
      </c>
      <c r="L840" s="6">
        <f t="shared" si="39"/>
        <v>27500</v>
      </c>
      <c r="M840" s="7">
        <v>0.114</v>
      </c>
      <c r="N840" s="6">
        <f t="shared" si="40"/>
        <v>3135</v>
      </c>
      <c r="O840" s="6">
        <f t="shared" si="41"/>
        <v>24365</v>
      </c>
    </row>
    <row r="841" spans="1:15">
      <c r="A841" s="8" t="s">
        <v>1054</v>
      </c>
      <c r="B841" s="9">
        <v>45650</v>
      </c>
      <c r="C841" s="10">
        <v>2024</v>
      </c>
      <c r="D841" s="8" t="s">
        <v>16</v>
      </c>
      <c r="E841" s="8" t="s">
        <v>42</v>
      </c>
      <c r="F841" s="8" t="s">
        <v>43</v>
      </c>
      <c r="G841" s="8" t="s">
        <v>53</v>
      </c>
      <c r="H841" s="8" t="s">
        <v>193</v>
      </c>
      <c r="I841" s="8" t="s">
        <v>334</v>
      </c>
      <c r="J841" s="11">
        <v>1</v>
      </c>
      <c r="K841" s="12">
        <v>3050</v>
      </c>
      <c r="L841" s="12">
        <f t="shared" si="39"/>
        <v>3050</v>
      </c>
      <c r="M841" s="13">
        <v>0</v>
      </c>
      <c r="N841" s="12">
        <f t="shared" si="40"/>
        <v>0</v>
      </c>
      <c r="O841" s="12">
        <f t="shared" si="41"/>
        <v>3050</v>
      </c>
    </row>
    <row r="842" spans="1:15">
      <c r="A842" s="2" t="s">
        <v>1055</v>
      </c>
      <c r="B842" s="3">
        <v>46013</v>
      </c>
      <c r="C842" s="4">
        <v>2025</v>
      </c>
      <c r="D842" s="2" t="s">
        <v>16</v>
      </c>
      <c r="E842" s="2" t="s">
        <v>17</v>
      </c>
      <c r="F842" s="2" t="s">
        <v>18</v>
      </c>
      <c r="G842" s="2" t="s">
        <v>64</v>
      </c>
      <c r="H842" s="2" t="s">
        <v>97</v>
      </c>
      <c r="I842" s="2" t="s">
        <v>212</v>
      </c>
      <c r="J842" s="5">
        <v>1</v>
      </c>
      <c r="K842" s="6">
        <v>850</v>
      </c>
      <c r="L842" s="6">
        <f t="shared" si="39"/>
        <v>850</v>
      </c>
      <c r="M842" s="7">
        <v>0</v>
      </c>
      <c r="N842" s="6">
        <f t="shared" si="40"/>
        <v>0</v>
      </c>
      <c r="O842" s="6">
        <f t="shared" si="41"/>
        <v>850</v>
      </c>
    </row>
    <row r="843" spans="1:15">
      <c r="A843" s="8" t="s">
        <v>1056</v>
      </c>
      <c r="B843" s="9">
        <v>45026</v>
      </c>
      <c r="C843" s="10">
        <v>2023</v>
      </c>
      <c r="D843" s="8" t="s">
        <v>30</v>
      </c>
      <c r="E843" s="8" t="s">
        <v>42</v>
      </c>
      <c r="F843" s="8" t="s">
        <v>43</v>
      </c>
      <c r="G843" s="8" t="s">
        <v>44</v>
      </c>
      <c r="H843" s="8" t="s">
        <v>61</v>
      </c>
      <c r="I843" s="8" t="s">
        <v>348</v>
      </c>
      <c r="J843" s="11">
        <v>1</v>
      </c>
      <c r="K843" s="12">
        <v>1500</v>
      </c>
      <c r="L843" s="12">
        <f t="shared" si="39"/>
        <v>1500</v>
      </c>
      <c r="M843" s="13">
        <v>0</v>
      </c>
      <c r="N843" s="12">
        <f t="shared" si="40"/>
        <v>0</v>
      </c>
      <c r="O843" s="12">
        <f t="shared" si="41"/>
        <v>1500</v>
      </c>
    </row>
    <row r="844" spans="1:15">
      <c r="A844" s="2" t="s">
        <v>1057</v>
      </c>
      <c r="B844" s="3">
        <v>45116</v>
      </c>
      <c r="C844" s="4">
        <v>2023</v>
      </c>
      <c r="D844" s="2" t="s">
        <v>68</v>
      </c>
      <c r="E844" s="2" t="s">
        <v>17</v>
      </c>
      <c r="F844" s="2" t="s">
        <v>18</v>
      </c>
      <c r="G844" s="2" t="s">
        <v>64</v>
      </c>
      <c r="H844" s="2" t="s">
        <v>65</v>
      </c>
      <c r="I844" s="2" t="s">
        <v>206</v>
      </c>
      <c r="J844" s="5">
        <v>4</v>
      </c>
      <c r="K844" s="6">
        <v>1550</v>
      </c>
      <c r="L844" s="6">
        <f t="shared" si="39"/>
        <v>6200</v>
      </c>
      <c r="M844" s="7">
        <v>0</v>
      </c>
      <c r="N844" s="6">
        <f t="shared" si="40"/>
        <v>0</v>
      </c>
      <c r="O844" s="6">
        <f t="shared" si="41"/>
        <v>6200</v>
      </c>
    </row>
    <row r="845" spans="1:15">
      <c r="A845" s="8" t="s">
        <v>1058</v>
      </c>
      <c r="B845" s="9">
        <v>45993</v>
      </c>
      <c r="C845" s="10">
        <v>2025</v>
      </c>
      <c r="D845" s="8" t="s">
        <v>16</v>
      </c>
      <c r="E845" s="8" t="s">
        <v>24</v>
      </c>
      <c r="F845" s="8" t="s">
        <v>25</v>
      </c>
      <c r="G845" s="8" t="s">
        <v>31</v>
      </c>
      <c r="H845" s="8" t="s">
        <v>81</v>
      </c>
      <c r="I845" s="8" t="s">
        <v>181</v>
      </c>
      <c r="J845" s="11">
        <v>1</v>
      </c>
      <c r="K845" s="12">
        <v>110</v>
      </c>
      <c r="L845" s="12">
        <f t="shared" si="39"/>
        <v>110</v>
      </c>
      <c r="M845" s="13">
        <v>0</v>
      </c>
      <c r="N845" s="12">
        <f t="shared" si="40"/>
        <v>0</v>
      </c>
      <c r="O845" s="12">
        <f t="shared" si="41"/>
        <v>110</v>
      </c>
    </row>
    <row r="846" spans="1:15">
      <c r="A846" s="2" t="s">
        <v>1059</v>
      </c>
      <c r="B846" s="3">
        <v>45320</v>
      </c>
      <c r="C846" s="4">
        <v>2024</v>
      </c>
      <c r="D846" s="2" t="s">
        <v>169</v>
      </c>
      <c r="E846" s="2" t="s">
        <v>42</v>
      </c>
      <c r="F846" s="2" t="s">
        <v>43</v>
      </c>
      <c r="G846" s="2" t="s">
        <v>31</v>
      </c>
      <c r="H846" s="2" t="s">
        <v>32</v>
      </c>
      <c r="I846" s="2" t="s">
        <v>276</v>
      </c>
      <c r="J846" s="5">
        <v>1</v>
      </c>
      <c r="K846" s="6">
        <v>100</v>
      </c>
      <c r="L846" s="6">
        <f t="shared" si="39"/>
        <v>100</v>
      </c>
      <c r="M846" s="7">
        <v>0</v>
      </c>
      <c r="N846" s="6">
        <f t="shared" si="40"/>
        <v>0</v>
      </c>
      <c r="O846" s="6">
        <f t="shared" si="41"/>
        <v>100</v>
      </c>
    </row>
    <row r="847" spans="1:15">
      <c r="A847" s="8" t="s">
        <v>1060</v>
      </c>
      <c r="B847" s="9">
        <v>45689</v>
      </c>
      <c r="C847" s="10">
        <v>2025</v>
      </c>
      <c r="D847" s="8" t="s">
        <v>23</v>
      </c>
      <c r="E847" s="8" t="s">
        <v>42</v>
      </c>
      <c r="F847" s="8" t="s">
        <v>43</v>
      </c>
      <c r="G847" s="8" t="s">
        <v>64</v>
      </c>
      <c r="H847" s="8" t="s">
        <v>97</v>
      </c>
      <c r="I847" s="8" t="s">
        <v>98</v>
      </c>
      <c r="J847" s="11">
        <v>1</v>
      </c>
      <c r="K847" s="12">
        <v>430</v>
      </c>
      <c r="L847" s="12">
        <f t="shared" si="39"/>
        <v>430</v>
      </c>
      <c r="M847" s="13">
        <v>8.8999999999999996E-2</v>
      </c>
      <c r="N847" s="12">
        <f t="shared" si="40"/>
        <v>38.269999999999996</v>
      </c>
      <c r="O847" s="12">
        <f t="shared" si="41"/>
        <v>391.73</v>
      </c>
    </row>
    <row r="848" spans="1:15">
      <c r="A848" s="2" t="s">
        <v>1061</v>
      </c>
      <c r="B848" s="3">
        <v>45416</v>
      </c>
      <c r="C848" s="4">
        <v>2024</v>
      </c>
      <c r="D848" s="2" t="s">
        <v>48</v>
      </c>
      <c r="E848" s="2" t="s">
        <v>24</v>
      </c>
      <c r="F848" s="2" t="s">
        <v>25</v>
      </c>
      <c r="G848" s="2" t="s">
        <v>19</v>
      </c>
      <c r="H848" s="2" t="s">
        <v>107</v>
      </c>
      <c r="I848" s="2" t="s">
        <v>242</v>
      </c>
      <c r="J848" s="5">
        <v>1</v>
      </c>
      <c r="K848" s="6">
        <v>1650</v>
      </c>
      <c r="L848" s="6">
        <f t="shared" si="39"/>
        <v>1650</v>
      </c>
      <c r="M848" s="7">
        <v>0</v>
      </c>
      <c r="N848" s="6">
        <f t="shared" si="40"/>
        <v>0</v>
      </c>
      <c r="O848" s="6">
        <f t="shared" si="41"/>
        <v>1650</v>
      </c>
    </row>
    <row r="849" spans="1:15">
      <c r="A849" s="8" t="s">
        <v>1062</v>
      </c>
      <c r="B849" s="9">
        <v>45808</v>
      </c>
      <c r="C849" s="10">
        <v>2025</v>
      </c>
      <c r="D849" s="8" t="s">
        <v>48</v>
      </c>
      <c r="E849" s="8" t="s">
        <v>35</v>
      </c>
      <c r="F849" s="8" t="s">
        <v>36</v>
      </c>
      <c r="G849" s="8" t="s">
        <v>57</v>
      </c>
      <c r="H849" s="8" t="s">
        <v>131</v>
      </c>
      <c r="I849" s="8" t="s">
        <v>166</v>
      </c>
      <c r="J849" s="11">
        <v>1</v>
      </c>
      <c r="K849" s="12">
        <v>2000</v>
      </c>
      <c r="L849" s="12">
        <f t="shared" si="39"/>
        <v>2000</v>
      </c>
      <c r="M849" s="13">
        <v>0</v>
      </c>
      <c r="N849" s="12">
        <f t="shared" si="40"/>
        <v>0</v>
      </c>
      <c r="O849" s="12">
        <f t="shared" si="41"/>
        <v>2000</v>
      </c>
    </row>
    <row r="850" spans="1:15">
      <c r="A850" s="2" t="s">
        <v>1063</v>
      </c>
      <c r="B850" s="3">
        <v>45077</v>
      </c>
      <c r="C850" s="4">
        <v>2023</v>
      </c>
      <c r="D850" s="2" t="s">
        <v>48</v>
      </c>
      <c r="E850" s="2" t="s">
        <v>35</v>
      </c>
      <c r="F850" s="2" t="s">
        <v>36</v>
      </c>
      <c r="G850" s="2" t="s">
        <v>26</v>
      </c>
      <c r="H850" s="2" t="s">
        <v>113</v>
      </c>
      <c r="I850" s="2" t="s">
        <v>332</v>
      </c>
      <c r="J850" s="5">
        <v>1</v>
      </c>
      <c r="K850" s="6">
        <v>30500</v>
      </c>
      <c r="L850" s="6">
        <f t="shared" si="39"/>
        <v>30500</v>
      </c>
      <c r="M850" s="7">
        <v>0</v>
      </c>
      <c r="N850" s="6">
        <f t="shared" si="40"/>
        <v>0</v>
      </c>
      <c r="O850" s="6">
        <f t="shared" si="41"/>
        <v>30500</v>
      </c>
    </row>
    <row r="851" spans="1:15">
      <c r="A851" s="8" t="s">
        <v>1064</v>
      </c>
      <c r="B851" s="9">
        <v>45887</v>
      </c>
      <c r="C851" s="10">
        <v>2025</v>
      </c>
      <c r="D851" s="8" t="s">
        <v>52</v>
      </c>
      <c r="E851" s="8" t="s">
        <v>42</v>
      </c>
      <c r="F851" s="8" t="s">
        <v>43</v>
      </c>
      <c r="G851" s="8" t="s">
        <v>26</v>
      </c>
      <c r="H851" s="8" t="s">
        <v>113</v>
      </c>
      <c r="I851" s="8" t="s">
        <v>162</v>
      </c>
      <c r="J851" s="11">
        <v>1</v>
      </c>
      <c r="K851" s="12">
        <v>80000</v>
      </c>
      <c r="L851" s="12">
        <f t="shared" si="39"/>
        <v>80000</v>
      </c>
      <c r="M851" s="13">
        <v>0.14299999999999999</v>
      </c>
      <c r="N851" s="12">
        <f t="shared" si="40"/>
        <v>11439.999999999998</v>
      </c>
      <c r="O851" s="12">
        <f t="shared" si="41"/>
        <v>68560</v>
      </c>
    </row>
    <row r="852" spans="1:15">
      <c r="A852" s="2" t="s">
        <v>1065</v>
      </c>
      <c r="B852" s="3">
        <v>45716</v>
      </c>
      <c r="C852" s="4">
        <v>2025</v>
      </c>
      <c r="D852" s="2" t="s">
        <v>23</v>
      </c>
      <c r="E852" s="2" t="s">
        <v>42</v>
      </c>
      <c r="F852" s="2" t="s">
        <v>43</v>
      </c>
      <c r="G852" s="2" t="s">
        <v>64</v>
      </c>
      <c r="H852" s="2" t="s">
        <v>65</v>
      </c>
      <c r="I852" s="2" t="s">
        <v>66</v>
      </c>
      <c r="J852" s="5">
        <v>1</v>
      </c>
      <c r="K852" s="6">
        <v>2350</v>
      </c>
      <c r="L852" s="6">
        <f t="shared" si="39"/>
        <v>2350</v>
      </c>
      <c r="M852" s="7">
        <v>0.128</v>
      </c>
      <c r="N852" s="6">
        <f t="shared" si="40"/>
        <v>300.8</v>
      </c>
      <c r="O852" s="6">
        <f t="shared" si="41"/>
        <v>2049.1999999999998</v>
      </c>
    </row>
    <row r="853" spans="1:15">
      <c r="A853" s="8" t="s">
        <v>1066</v>
      </c>
      <c r="B853" s="9">
        <v>44970</v>
      </c>
      <c r="C853" s="10">
        <v>2023</v>
      </c>
      <c r="D853" s="8" t="s">
        <v>23</v>
      </c>
      <c r="E853" s="8" t="s">
        <v>35</v>
      </c>
      <c r="F853" s="8" t="s">
        <v>36</v>
      </c>
      <c r="G853" s="8" t="s">
        <v>26</v>
      </c>
      <c r="H853" s="8" t="s">
        <v>27</v>
      </c>
      <c r="I853" s="8" t="s">
        <v>28</v>
      </c>
      <c r="J853" s="11">
        <v>1</v>
      </c>
      <c r="K853" s="12">
        <v>4950</v>
      </c>
      <c r="L853" s="12">
        <f t="shared" si="39"/>
        <v>4950</v>
      </c>
      <c r="M853" s="13">
        <v>9.0999999999999998E-2</v>
      </c>
      <c r="N853" s="12">
        <f t="shared" si="40"/>
        <v>450.45</v>
      </c>
      <c r="O853" s="12">
        <f t="shared" si="41"/>
        <v>4499.55</v>
      </c>
    </row>
    <row r="854" spans="1:15">
      <c r="A854" s="2" t="s">
        <v>1067</v>
      </c>
      <c r="B854" s="3">
        <v>45245</v>
      </c>
      <c r="C854" s="4">
        <v>2023</v>
      </c>
      <c r="D854" s="2" t="s">
        <v>41</v>
      </c>
      <c r="E854" s="2" t="s">
        <v>35</v>
      </c>
      <c r="F854" s="2" t="s">
        <v>36</v>
      </c>
      <c r="G854" s="2" t="s">
        <v>26</v>
      </c>
      <c r="H854" s="2" t="s">
        <v>110</v>
      </c>
      <c r="I854" s="2" t="s">
        <v>214</v>
      </c>
      <c r="J854" s="5">
        <v>1</v>
      </c>
      <c r="K854" s="6">
        <v>9000</v>
      </c>
      <c r="L854" s="6">
        <f t="shared" si="39"/>
        <v>9000</v>
      </c>
      <c r="M854" s="7">
        <v>0</v>
      </c>
      <c r="N854" s="6">
        <f t="shared" si="40"/>
        <v>0</v>
      </c>
      <c r="O854" s="6">
        <f t="shared" si="41"/>
        <v>9000</v>
      </c>
    </row>
    <row r="855" spans="1:15">
      <c r="A855" s="8" t="s">
        <v>1068</v>
      </c>
      <c r="B855" s="9">
        <v>45472</v>
      </c>
      <c r="C855" s="10">
        <v>2024</v>
      </c>
      <c r="D855" s="8" t="s">
        <v>100</v>
      </c>
      <c r="E855" s="8" t="s">
        <v>35</v>
      </c>
      <c r="F855" s="8" t="s">
        <v>36</v>
      </c>
      <c r="G855" s="8" t="s">
        <v>37</v>
      </c>
      <c r="H855" s="8" t="s">
        <v>49</v>
      </c>
      <c r="I855" s="8" t="s">
        <v>1052</v>
      </c>
      <c r="J855" s="11">
        <v>1</v>
      </c>
      <c r="K855" s="12">
        <v>1550</v>
      </c>
      <c r="L855" s="12">
        <f t="shared" si="39"/>
        <v>1550</v>
      </c>
      <c r="M855" s="13">
        <v>0</v>
      </c>
      <c r="N855" s="12">
        <f t="shared" si="40"/>
        <v>0</v>
      </c>
      <c r="O855" s="12">
        <f t="shared" si="41"/>
        <v>1550</v>
      </c>
    </row>
    <row r="856" spans="1:15">
      <c r="A856" s="2" t="s">
        <v>1069</v>
      </c>
      <c r="B856" s="3">
        <v>45987</v>
      </c>
      <c r="C856" s="4">
        <v>2025</v>
      </c>
      <c r="D856" s="2" t="s">
        <v>41</v>
      </c>
      <c r="E856" s="2" t="s">
        <v>35</v>
      </c>
      <c r="F856" s="2" t="s">
        <v>36</v>
      </c>
      <c r="G856" s="2" t="s">
        <v>53</v>
      </c>
      <c r="H856" s="2" t="s">
        <v>136</v>
      </c>
      <c r="I856" s="2" t="s">
        <v>346</v>
      </c>
      <c r="J856" s="5">
        <v>4</v>
      </c>
      <c r="K856" s="6">
        <v>1700</v>
      </c>
      <c r="L856" s="6">
        <f t="shared" si="39"/>
        <v>6800</v>
      </c>
      <c r="M856" s="7">
        <v>0</v>
      </c>
      <c r="N856" s="6">
        <f t="shared" si="40"/>
        <v>0</v>
      </c>
      <c r="O856" s="6">
        <f t="shared" si="41"/>
        <v>6800</v>
      </c>
    </row>
    <row r="857" spans="1:15">
      <c r="A857" s="8" t="s">
        <v>1070</v>
      </c>
      <c r="B857" s="9">
        <v>45141</v>
      </c>
      <c r="C857" s="10">
        <v>2023</v>
      </c>
      <c r="D857" s="8" t="s">
        <v>52</v>
      </c>
      <c r="E857" s="8" t="s">
        <v>35</v>
      </c>
      <c r="F857" s="8" t="s">
        <v>36</v>
      </c>
      <c r="G857" s="8" t="s">
        <v>44</v>
      </c>
      <c r="H857" s="8" t="s">
        <v>223</v>
      </c>
      <c r="I857" s="8" t="s">
        <v>320</v>
      </c>
      <c r="J857" s="11">
        <v>1</v>
      </c>
      <c r="K857" s="12">
        <v>1050</v>
      </c>
      <c r="L857" s="12">
        <f t="shared" si="39"/>
        <v>1050</v>
      </c>
      <c r="M857" s="13">
        <v>0</v>
      </c>
      <c r="N857" s="12">
        <f t="shared" si="40"/>
        <v>0</v>
      </c>
      <c r="O857" s="12">
        <f t="shared" si="41"/>
        <v>1050</v>
      </c>
    </row>
    <row r="858" spans="1:15">
      <c r="A858" s="2" t="s">
        <v>1071</v>
      </c>
      <c r="B858" s="3">
        <v>44992</v>
      </c>
      <c r="C858" s="4">
        <v>2023</v>
      </c>
      <c r="D858" s="2" t="s">
        <v>78</v>
      </c>
      <c r="E858" s="2" t="s">
        <v>17</v>
      </c>
      <c r="F858" s="2" t="s">
        <v>18</v>
      </c>
      <c r="G858" s="2" t="s">
        <v>37</v>
      </c>
      <c r="H858" s="2" t="s">
        <v>49</v>
      </c>
      <c r="I858" s="2" t="s">
        <v>79</v>
      </c>
      <c r="J858" s="5">
        <v>1</v>
      </c>
      <c r="K858" s="6">
        <v>3950</v>
      </c>
      <c r="L858" s="6">
        <f t="shared" si="39"/>
        <v>3950</v>
      </c>
      <c r="M858" s="7">
        <v>0.11</v>
      </c>
      <c r="N858" s="6">
        <f t="shared" si="40"/>
        <v>434.5</v>
      </c>
      <c r="O858" s="6">
        <f t="shared" si="41"/>
        <v>3515.5</v>
      </c>
    </row>
    <row r="859" spans="1:15">
      <c r="A859" s="8" t="s">
        <v>1072</v>
      </c>
      <c r="B859" s="9">
        <v>45510</v>
      </c>
      <c r="C859" s="10">
        <v>2024</v>
      </c>
      <c r="D859" s="8" t="s">
        <v>52</v>
      </c>
      <c r="E859" s="8" t="s">
        <v>17</v>
      </c>
      <c r="F859" s="8" t="s">
        <v>18</v>
      </c>
      <c r="G859" s="8" t="s">
        <v>44</v>
      </c>
      <c r="H859" s="8" t="s">
        <v>176</v>
      </c>
      <c r="I859" s="8" t="s">
        <v>177</v>
      </c>
      <c r="J859" s="11">
        <v>6</v>
      </c>
      <c r="K859" s="12">
        <v>900</v>
      </c>
      <c r="L859" s="12">
        <f t="shared" si="39"/>
        <v>5400</v>
      </c>
      <c r="M859" s="13">
        <v>0</v>
      </c>
      <c r="N859" s="12">
        <f t="shared" si="40"/>
        <v>0</v>
      </c>
      <c r="O859" s="12">
        <f t="shared" si="41"/>
        <v>5400</v>
      </c>
    </row>
    <row r="860" spans="1:15">
      <c r="A860" s="2" t="s">
        <v>1073</v>
      </c>
      <c r="B860" s="3">
        <v>45114</v>
      </c>
      <c r="C860" s="4">
        <v>2023</v>
      </c>
      <c r="D860" s="2" t="s">
        <v>68</v>
      </c>
      <c r="E860" s="2" t="s">
        <v>24</v>
      </c>
      <c r="F860" s="2" t="s">
        <v>25</v>
      </c>
      <c r="G860" s="2" t="s">
        <v>57</v>
      </c>
      <c r="H860" s="2" t="s">
        <v>200</v>
      </c>
      <c r="I860" s="2" t="s">
        <v>201</v>
      </c>
      <c r="J860" s="5">
        <v>1</v>
      </c>
      <c r="K860" s="6">
        <v>4200</v>
      </c>
      <c r="L860" s="6">
        <f t="shared" si="39"/>
        <v>4200</v>
      </c>
      <c r="M860" s="7">
        <v>0.16200000000000001</v>
      </c>
      <c r="N860" s="6">
        <f t="shared" si="40"/>
        <v>680.4</v>
      </c>
      <c r="O860" s="6">
        <f t="shared" si="41"/>
        <v>3519.6</v>
      </c>
    </row>
    <row r="861" spans="1:15">
      <c r="A861" s="8" t="s">
        <v>1074</v>
      </c>
      <c r="B861" s="9">
        <v>45453</v>
      </c>
      <c r="C861" s="10">
        <v>2024</v>
      </c>
      <c r="D861" s="8" t="s">
        <v>100</v>
      </c>
      <c r="E861" s="8" t="s">
        <v>17</v>
      </c>
      <c r="F861" s="8" t="s">
        <v>18</v>
      </c>
      <c r="G861" s="8" t="s">
        <v>64</v>
      </c>
      <c r="H861" s="8" t="s">
        <v>97</v>
      </c>
      <c r="I861" s="8" t="s">
        <v>300</v>
      </c>
      <c r="J861" s="11">
        <v>1</v>
      </c>
      <c r="K861" s="12">
        <v>460</v>
      </c>
      <c r="L861" s="12">
        <f t="shared" si="39"/>
        <v>460</v>
      </c>
      <c r="M861" s="13">
        <v>0.123</v>
      </c>
      <c r="N861" s="12">
        <f t="shared" si="40"/>
        <v>56.58</v>
      </c>
      <c r="O861" s="12">
        <f t="shared" si="41"/>
        <v>403.42</v>
      </c>
    </row>
    <row r="862" spans="1:15">
      <c r="A862" s="2" t="s">
        <v>1075</v>
      </c>
      <c r="B862" s="3">
        <v>45825</v>
      </c>
      <c r="C862" s="4">
        <v>2025</v>
      </c>
      <c r="D862" s="2" t="s">
        <v>100</v>
      </c>
      <c r="E862" s="2" t="s">
        <v>17</v>
      </c>
      <c r="F862" s="2" t="s">
        <v>18</v>
      </c>
      <c r="G862" s="2" t="s">
        <v>37</v>
      </c>
      <c r="H862" s="2" t="s">
        <v>104</v>
      </c>
      <c r="I862" s="2" t="s">
        <v>623</v>
      </c>
      <c r="J862" s="5">
        <v>3</v>
      </c>
      <c r="K862" s="6">
        <v>2500</v>
      </c>
      <c r="L862" s="6">
        <f t="shared" si="39"/>
        <v>7500</v>
      </c>
      <c r="M862" s="7">
        <v>0</v>
      </c>
      <c r="N862" s="6">
        <f t="shared" si="40"/>
        <v>0</v>
      </c>
      <c r="O862" s="6">
        <f t="shared" si="41"/>
        <v>7500</v>
      </c>
    </row>
    <row r="863" spans="1:15">
      <c r="A863" s="8" t="s">
        <v>1076</v>
      </c>
      <c r="B863" s="9">
        <v>45680</v>
      </c>
      <c r="C863" s="10">
        <v>2025</v>
      </c>
      <c r="D863" s="8" t="s">
        <v>169</v>
      </c>
      <c r="E863" s="8" t="s">
        <v>35</v>
      </c>
      <c r="F863" s="8" t="s">
        <v>36</v>
      </c>
      <c r="G863" s="8" t="s">
        <v>31</v>
      </c>
      <c r="H863" s="8" t="s">
        <v>124</v>
      </c>
      <c r="I863" s="8" t="s">
        <v>266</v>
      </c>
      <c r="J863" s="11">
        <v>1</v>
      </c>
      <c r="K863" s="12">
        <v>700</v>
      </c>
      <c r="L863" s="12">
        <f t="shared" si="39"/>
        <v>700</v>
      </c>
      <c r="M863" s="13">
        <v>0</v>
      </c>
      <c r="N863" s="12">
        <f t="shared" si="40"/>
        <v>0</v>
      </c>
      <c r="O863" s="12">
        <f t="shared" si="41"/>
        <v>700</v>
      </c>
    </row>
    <row r="864" spans="1:15">
      <c r="A864" s="2" t="s">
        <v>1077</v>
      </c>
      <c r="B864" s="3">
        <v>45366</v>
      </c>
      <c r="C864" s="4">
        <v>2024</v>
      </c>
      <c r="D864" s="2" t="s">
        <v>78</v>
      </c>
      <c r="E864" s="2" t="s">
        <v>42</v>
      </c>
      <c r="F864" s="2" t="s">
        <v>43</v>
      </c>
      <c r="G864" s="2" t="s">
        <v>37</v>
      </c>
      <c r="H864" s="2" t="s">
        <v>38</v>
      </c>
      <c r="I864" s="2" t="s">
        <v>89</v>
      </c>
      <c r="J864" s="5">
        <v>1</v>
      </c>
      <c r="K864" s="6">
        <v>3050</v>
      </c>
      <c r="L864" s="6">
        <f t="shared" si="39"/>
        <v>3050</v>
      </c>
      <c r="M864" s="7">
        <v>0</v>
      </c>
      <c r="N864" s="6">
        <f t="shared" si="40"/>
        <v>0</v>
      </c>
      <c r="O864" s="6">
        <f t="shared" si="41"/>
        <v>3050</v>
      </c>
    </row>
    <row r="865" spans="1:15">
      <c r="A865" s="8" t="s">
        <v>1078</v>
      </c>
      <c r="B865" s="9">
        <v>45698</v>
      </c>
      <c r="C865" s="10">
        <v>2025</v>
      </c>
      <c r="D865" s="8" t="s">
        <v>23</v>
      </c>
      <c r="E865" s="8" t="s">
        <v>35</v>
      </c>
      <c r="F865" s="8" t="s">
        <v>36</v>
      </c>
      <c r="G865" s="8" t="s">
        <v>26</v>
      </c>
      <c r="H865" s="8" t="s">
        <v>110</v>
      </c>
      <c r="I865" s="8" t="s">
        <v>313</v>
      </c>
      <c r="J865" s="11">
        <v>1</v>
      </c>
      <c r="K865" s="12">
        <v>42000</v>
      </c>
      <c r="L865" s="12">
        <f t="shared" si="39"/>
        <v>42000</v>
      </c>
      <c r="M865" s="13">
        <v>0</v>
      </c>
      <c r="N865" s="12">
        <f t="shared" si="40"/>
        <v>0</v>
      </c>
      <c r="O865" s="12">
        <f t="shared" si="41"/>
        <v>42000</v>
      </c>
    </row>
    <row r="866" spans="1:15">
      <c r="A866" s="2" t="s">
        <v>1079</v>
      </c>
      <c r="B866" s="3">
        <v>45041</v>
      </c>
      <c r="C866" s="4">
        <v>2023</v>
      </c>
      <c r="D866" s="2" t="s">
        <v>30</v>
      </c>
      <c r="E866" s="2" t="s">
        <v>42</v>
      </c>
      <c r="F866" s="2" t="s">
        <v>43</v>
      </c>
      <c r="G866" s="2" t="s">
        <v>37</v>
      </c>
      <c r="H866" s="2" t="s">
        <v>38</v>
      </c>
      <c r="I866" s="2" t="s">
        <v>89</v>
      </c>
      <c r="J866" s="5">
        <v>1</v>
      </c>
      <c r="K866" s="6">
        <v>950</v>
      </c>
      <c r="L866" s="6">
        <f t="shared" si="39"/>
        <v>950</v>
      </c>
      <c r="M866" s="7">
        <v>0</v>
      </c>
      <c r="N866" s="6">
        <f t="shared" si="40"/>
        <v>0</v>
      </c>
      <c r="O866" s="6">
        <f t="shared" si="41"/>
        <v>950</v>
      </c>
    </row>
    <row r="867" spans="1:15">
      <c r="A867" s="8" t="s">
        <v>1080</v>
      </c>
      <c r="B867" s="9">
        <v>45643</v>
      </c>
      <c r="C867" s="10">
        <v>2024</v>
      </c>
      <c r="D867" s="8" t="s">
        <v>16</v>
      </c>
      <c r="E867" s="8" t="s">
        <v>42</v>
      </c>
      <c r="F867" s="8" t="s">
        <v>43</v>
      </c>
      <c r="G867" s="8" t="s">
        <v>19</v>
      </c>
      <c r="H867" s="8" t="s">
        <v>141</v>
      </c>
      <c r="I867" s="8" t="s">
        <v>392</v>
      </c>
      <c r="J867" s="11">
        <v>8</v>
      </c>
      <c r="K867" s="12">
        <v>1900</v>
      </c>
      <c r="L867" s="12">
        <f t="shared" si="39"/>
        <v>15200</v>
      </c>
      <c r="M867" s="13">
        <v>5.0999999999999997E-2</v>
      </c>
      <c r="N867" s="12">
        <f t="shared" si="40"/>
        <v>775.19999999999993</v>
      </c>
      <c r="O867" s="12">
        <f t="shared" si="41"/>
        <v>14424.8</v>
      </c>
    </row>
    <row r="868" spans="1:15">
      <c r="A868" s="2" t="s">
        <v>1081</v>
      </c>
      <c r="B868" s="3">
        <v>44989</v>
      </c>
      <c r="C868" s="4">
        <v>2023</v>
      </c>
      <c r="D868" s="2" t="s">
        <v>78</v>
      </c>
      <c r="E868" s="2" t="s">
        <v>35</v>
      </c>
      <c r="F868" s="2" t="s">
        <v>36</v>
      </c>
      <c r="G868" s="2" t="s">
        <v>53</v>
      </c>
      <c r="H868" s="2" t="s">
        <v>136</v>
      </c>
      <c r="I868" s="2" t="s">
        <v>346</v>
      </c>
      <c r="J868" s="5">
        <v>1</v>
      </c>
      <c r="K868" s="6">
        <v>3550</v>
      </c>
      <c r="L868" s="6">
        <f t="shared" si="39"/>
        <v>3550</v>
      </c>
      <c r="M868" s="7">
        <v>0</v>
      </c>
      <c r="N868" s="6">
        <f t="shared" si="40"/>
        <v>0</v>
      </c>
      <c r="O868" s="6">
        <f t="shared" si="41"/>
        <v>3550</v>
      </c>
    </row>
    <row r="869" spans="1:15">
      <c r="A869" s="8" t="s">
        <v>1082</v>
      </c>
      <c r="B869" s="9">
        <v>45492</v>
      </c>
      <c r="C869" s="10">
        <v>2024</v>
      </c>
      <c r="D869" s="8" t="s">
        <v>68</v>
      </c>
      <c r="E869" s="8" t="s">
        <v>24</v>
      </c>
      <c r="F869" s="8" t="s">
        <v>25</v>
      </c>
      <c r="G869" s="8" t="s">
        <v>31</v>
      </c>
      <c r="H869" s="8" t="s">
        <v>81</v>
      </c>
      <c r="I869" s="8" t="s">
        <v>82</v>
      </c>
      <c r="J869" s="11">
        <v>1</v>
      </c>
      <c r="K869" s="12">
        <v>230</v>
      </c>
      <c r="L869" s="12">
        <f t="shared" si="39"/>
        <v>230</v>
      </c>
      <c r="M869" s="13">
        <v>3.2000000000000001E-2</v>
      </c>
      <c r="N869" s="12">
        <f t="shared" si="40"/>
        <v>7.36</v>
      </c>
      <c r="O869" s="12">
        <f t="shared" si="41"/>
        <v>222.64</v>
      </c>
    </row>
    <row r="870" spans="1:15">
      <c r="A870" s="2" t="s">
        <v>1083</v>
      </c>
      <c r="B870" s="3">
        <v>45747</v>
      </c>
      <c r="C870" s="4">
        <v>2025</v>
      </c>
      <c r="D870" s="2" t="s">
        <v>78</v>
      </c>
      <c r="E870" s="2" t="s">
        <v>42</v>
      </c>
      <c r="F870" s="2" t="s">
        <v>43</v>
      </c>
      <c r="G870" s="2" t="s">
        <v>37</v>
      </c>
      <c r="H870" s="2" t="s">
        <v>91</v>
      </c>
      <c r="I870" s="2" t="s">
        <v>92</v>
      </c>
      <c r="J870" s="5">
        <v>1</v>
      </c>
      <c r="K870" s="6">
        <v>800</v>
      </c>
      <c r="L870" s="6">
        <f t="shared" si="39"/>
        <v>800</v>
      </c>
      <c r="M870" s="7">
        <v>9.5000000000000001E-2</v>
      </c>
      <c r="N870" s="6">
        <f t="shared" si="40"/>
        <v>76</v>
      </c>
      <c r="O870" s="6">
        <f t="shared" si="41"/>
        <v>724</v>
      </c>
    </row>
    <row r="871" spans="1:15">
      <c r="A871" s="8" t="s">
        <v>1084</v>
      </c>
      <c r="B871" s="9">
        <v>45879</v>
      </c>
      <c r="C871" s="10">
        <v>2025</v>
      </c>
      <c r="D871" s="8" t="s">
        <v>52</v>
      </c>
      <c r="E871" s="8" t="s">
        <v>35</v>
      </c>
      <c r="F871" s="8" t="s">
        <v>36</v>
      </c>
      <c r="G871" s="8" t="s">
        <v>19</v>
      </c>
      <c r="H871" s="8" t="s">
        <v>141</v>
      </c>
      <c r="I871" s="8" t="s">
        <v>142</v>
      </c>
      <c r="J871" s="11">
        <v>6</v>
      </c>
      <c r="K871" s="12">
        <v>1600</v>
      </c>
      <c r="L871" s="12">
        <f t="shared" si="39"/>
        <v>9600</v>
      </c>
      <c r="M871" s="13">
        <v>0</v>
      </c>
      <c r="N871" s="12">
        <f t="shared" si="40"/>
        <v>0</v>
      </c>
      <c r="O871" s="12">
        <f t="shared" si="41"/>
        <v>9600</v>
      </c>
    </row>
    <row r="872" spans="1:15">
      <c r="A872" s="2" t="s">
        <v>1085</v>
      </c>
      <c r="B872" s="3">
        <v>45927</v>
      </c>
      <c r="C872" s="4">
        <v>2025</v>
      </c>
      <c r="D872" s="2" t="s">
        <v>123</v>
      </c>
      <c r="E872" s="2" t="s">
        <v>42</v>
      </c>
      <c r="F872" s="2" t="s">
        <v>43</v>
      </c>
      <c r="G872" s="2" t="s">
        <v>44</v>
      </c>
      <c r="H872" s="2" t="s">
        <v>45</v>
      </c>
      <c r="I872" s="2" t="s">
        <v>46</v>
      </c>
      <c r="J872" s="5">
        <v>4</v>
      </c>
      <c r="K872" s="6">
        <v>1750</v>
      </c>
      <c r="L872" s="6">
        <f t="shared" si="39"/>
        <v>7000</v>
      </c>
      <c r="M872" s="7">
        <v>8.6999999999999994E-2</v>
      </c>
      <c r="N872" s="6">
        <f t="shared" si="40"/>
        <v>609</v>
      </c>
      <c r="O872" s="6">
        <f t="shared" si="41"/>
        <v>6391</v>
      </c>
    </row>
    <row r="873" spans="1:15">
      <c r="A873" s="8" t="s">
        <v>1086</v>
      </c>
      <c r="B873" s="9">
        <v>45949</v>
      </c>
      <c r="C873" s="10">
        <v>2025</v>
      </c>
      <c r="D873" s="8" t="s">
        <v>72</v>
      </c>
      <c r="E873" s="8" t="s">
        <v>24</v>
      </c>
      <c r="F873" s="8" t="s">
        <v>25</v>
      </c>
      <c r="G873" s="8" t="s">
        <v>64</v>
      </c>
      <c r="H873" s="8" t="s">
        <v>94</v>
      </c>
      <c r="I873" s="8" t="s">
        <v>170</v>
      </c>
      <c r="J873" s="11">
        <v>1</v>
      </c>
      <c r="K873" s="12">
        <v>2300</v>
      </c>
      <c r="L873" s="12">
        <f t="shared" si="39"/>
        <v>2300</v>
      </c>
      <c r="M873" s="13">
        <v>0</v>
      </c>
      <c r="N873" s="12">
        <f t="shared" si="40"/>
        <v>0</v>
      </c>
      <c r="O873" s="12">
        <f t="shared" si="41"/>
        <v>2300</v>
      </c>
    </row>
    <row r="874" spans="1:15">
      <c r="A874" s="2" t="s">
        <v>1087</v>
      </c>
      <c r="B874" s="3">
        <v>45902</v>
      </c>
      <c r="C874" s="4">
        <v>2025</v>
      </c>
      <c r="D874" s="2" t="s">
        <v>123</v>
      </c>
      <c r="E874" s="2" t="s">
        <v>17</v>
      </c>
      <c r="F874" s="2" t="s">
        <v>18</v>
      </c>
      <c r="G874" s="2" t="s">
        <v>57</v>
      </c>
      <c r="H874" s="2" t="s">
        <v>58</v>
      </c>
      <c r="I874" s="2" t="s">
        <v>151</v>
      </c>
      <c r="J874" s="5">
        <v>1</v>
      </c>
      <c r="K874" s="6">
        <v>6000</v>
      </c>
      <c r="L874" s="6">
        <f t="shared" si="39"/>
        <v>6000</v>
      </c>
      <c r="M874" s="7">
        <v>0</v>
      </c>
      <c r="N874" s="6">
        <f t="shared" si="40"/>
        <v>0</v>
      </c>
      <c r="O874" s="6">
        <f t="shared" si="41"/>
        <v>6000</v>
      </c>
    </row>
    <row r="875" spans="1:15">
      <c r="A875" s="8" t="s">
        <v>1088</v>
      </c>
      <c r="B875" s="9">
        <v>45014</v>
      </c>
      <c r="C875" s="10">
        <v>2023</v>
      </c>
      <c r="D875" s="8" t="s">
        <v>78</v>
      </c>
      <c r="E875" s="8" t="s">
        <v>42</v>
      </c>
      <c r="F875" s="8" t="s">
        <v>43</v>
      </c>
      <c r="G875" s="8" t="s">
        <v>57</v>
      </c>
      <c r="H875" s="8" t="s">
        <v>131</v>
      </c>
      <c r="I875" s="8" t="s">
        <v>166</v>
      </c>
      <c r="J875" s="11">
        <v>1</v>
      </c>
      <c r="K875" s="12">
        <v>3100</v>
      </c>
      <c r="L875" s="12">
        <f t="shared" si="39"/>
        <v>3100</v>
      </c>
      <c r="M875" s="13">
        <v>0</v>
      </c>
      <c r="N875" s="12">
        <f t="shared" si="40"/>
        <v>0</v>
      </c>
      <c r="O875" s="12">
        <f t="shared" si="41"/>
        <v>3100</v>
      </c>
    </row>
    <row r="876" spans="1:15">
      <c r="A876" s="2" t="s">
        <v>1089</v>
      </c>
      <c r="B876" s="3">
        <v>44951</v>
      </c>
      <c r="C876" s="4">
        <v>2023</v>
      </c>
      <c r="D876" s="2" t="s">
        <v>169</v>
      </c>
      <c r="E876" s="2" t="s">
        <v>24</v>
      </c>
      <c r="F876" s="2" t="s">
        <v>25</v>
      </c>
      <c r="G876" s="2" t="s">
        <v>37</v>
      </c>
      <c r="H876" s="2" t="s">
        <v>49</v>
      </c>
      <c r="I876" s="2" t="s">
        <v>50</v>
      </c>
      <c r="J876" s="5">
        <v>1</v>
      </c>
      <c r="K876" s="6">
        <v>600</v>
      </c>
      <c r="L876" s="6">
        <f t="shared" si="39"/>
        <v>600</v>
      </c>
      <c r="M876" s="7">
        <v>6.3E-2</v>
      </c>
      <c r="N876" s="6">
        <f t="shared" si="40"/>
        <v>37.799999999999997</v>
      </c>
      <c r="O876" s="6">
        <f t="shared" si="41"/>
        <v>562.20000000000005</v>
      </c>
    </row>
    <row r="877" spans="1:15">
      <c r="A877" s="8" t="s">
        <v>1090</v>
      </c>
      <c r="B877" s="9">
        <v>45834</v>
      </c>
      <c r="C877" s="10">
        <v>2025</v>
      </c>
      <c r="D877" s="8" t="s">
        <v>100</v>
      </c>
      <c r="E877" s="8" t="s">
        <v>35</v>
      </c>
      <c r="F877" s="8" t="s">
        <v>36</v>
      </c>
      <c r="G877" s="8" t="s">
        <v>44</v>
      </c>
      <c r="H877" s="8" t="s">
        <v>176</v>
      </c>
      <c r="I877" s="8" t="s">
        <v>375</v>
      </c>
      <c r="J877" s="11">
        <v>1</v>
      </c>
      <c r="K877" s="12">
        <v>370</v>
      </c>
      <c r="L877" s="12">
        <f t="shared" si="39"/>
        <v>370</v>
      </c>
      <c r="M877" s="13">
        <v>8.3000000000000004E-2</v>
      </c>
      <c r="N877" s="12">
        <f t="shared" si="40"/>
        <v>30.71</v>
      </c>
      <c r="O877" s="12">
        <f t="shared" si="41"/>
        <v>339.29</v>
      </c>
    </row>
    <row r="878" spans="1:15">
      <c r="A878" s="2" t="s">
        <v>1091</v>
      </c>
      <c r="B878" s="3">
        <v>45523</v>
      </c>
      <c r="C878" s="4">
        <v>2024</v>
      </c>
      <c r="D878" s="2" t="s">
        <v>52</v>
      </c>
      <c r="E878" s="2" t="s">
        <v>24</v>
      </c>
      <c r="F878" s="2" t="s">
        <v>25</v>
      </c>
      <c r="G878" s="2" t="s">
        <v>26</v>
      </c>
      <c r="H878" s="2" t="s">
        <v>110</v>
      </c>
      <c r="I878" s="2" t="s">
        <v>214</v>
      </c>
      <c r="J878" s="5">
        <v>1</v>
      </c>
      <c r="K878" s="6">
        <v>50000</v>
      </c>
      <c r="L878" s="6">
        <f t="shared" si="39"/>
        <v>50000</v>
      </c>
      <c r="M878" s="7">
        <v>0</v>
      </c>
      <c r="N878" s="6">
        <f t="shared" si="40"/>
        <v>0</v>
      </c>
      <c r="O878" s="6">
        <f t="shared" si="41"/>
        <v>50000</v>
      </c>
    </row>
    <row r="879" spans="1:15">
      <c r="A879" s="8" t="s">
        <v>1092</v>
      </c>
      <c r="B879" s="9">
        <v>44978</v>
      </c>
      <c r="C879" s="10">
        <v>2023</v>
      </c>
      <c r="D879" s="8" t="s">
        <v>23</v>
      </c>
      <c r="E879" s="8" t="s">
        <v>24</v>
      </c>
      <c r="F879" s="8" t="s">
        <v>25</v>
      </c>
      <c r="G879" s="8" t="s">
        <v>31</v>
      </c>
      <c r="H879" s="8" t="s">
        <v>32</v>
      </c>
      <c r="I879" s="8" t="s">
        <v>292</v>
      </c>
      <c r="J879" s="11">
        <v>6</v>
      </c>
      <c r="K879" s="12">
        <v>1100</v>
      </c>
      <c r="L879" s="12">
        <f t="shared" si="39"/>
        <v>6600</v>
      </c>
      <c r="M879" s="13">
        <v>0</v>
      </c>
      <c r="N879" s="12">
        <f t="shared" si="40"/>
        <v>0</v>
      </c>
      <c r="O879" s="12">
        <f t="shared" si="41"/>
        <v>6600</v>
      </c>
    </row>
    <row r="880" spans="1:15">
      <c r="A880" s="2" t="s">
        <v>1093</v>
      </c>
      <c r="B880" s="3">
        <v>45794</v>
      </c>
      <c r="C880" s="4">
        <v>2025</v>
      </c>
      <c r="D880" s="2" t="s">
        <v>48</v>
      </c>
      <c r="E880" s="2" t="s">
        <v>42</v>
      </c>
      <c r="F880" s="2" t="s">
        <v>43</v>
      </c>
      <c r="G880" s="2" t="s">
        <v>64</v>
      </c>
      <c r="H880" s="2" t="s">
        <v>127</v>
      </c>
      <c r="I880" s="2" t="s">
        <v>255</v>
      </c>
      <c r="J880" s="5">
        <v>1</v>
      </c>
      <c r="K880" s="6">
        <v>2700</v>
      </c>
      <c r="L880" s="6">
        <f t="shared" si="39"/>
        <v>2700</v>
      </c>
      <c r="M880" s="7">
        <v>0.11799999999999999</v>
      </c>
      <c r="N880" s="6">
        <f t="shared" si="40"/>
        <v>318.59999999999997</v>
      </c>
      <c r="O880" s="6">
        <f t="shared" si="41"/>
        <v>2381.4</v>
      </c>
    </row>
    <row r="881" spans="1:15">
      <c r="A881" s="8" t="s">
        <v>1094</v>
      </c>
      <c r="B881" s="9">
        <v>45723</v>
      </c>
      <c r="C881" s="10">
        <v>2025</v>
      </c>
      <c r="D881" s="8" t="s">
        <v>78</v>
      </c>
      <c r="E881" s="8" t="s">
        <v>17</v>
      </c>
      <c r="F881" s="8" t="s">
        <v>18</v>
      </c>
      <c r="G881" s="8" t="s">
        <v>64</v>
      </c>
      <c r="H881" s="8" t="s">
        <v>127</v>
      </c>
      <c r="I881" s="8" t="s">
        <v>255</v>
      </c>
      <c r="J881" s="11">
        <v>3</v>
      </c>
      <c r="K881" s="12">
        <v>800</v>
      </c>
      <c r="L881" s="12">
        <f t="shared" si="39"/>
        <v>2400</v>
      </c>
      <c r="M881" s="13">
        <v>0</v>
      </c>
      <c r="N881" s="12">
        <f t="shared" si="40"/>
        <v>0</v>
      </c>
      <c r="O881" s="12">
        <f t="shared" si="41"/>
        <v>2400</v>
      </c>
    </row>
    <row r="882" spans="1:15">
      <c r="A882" s="2" t="s">
        <v>1095</v>
      </c>
      <c r="B882" s="3">
        <v>45018</v>
      </c>
      <c r="C882" s="4">
        <v>2023</v>
      </c>
      <c r="D882" s="2" t="s">
        <v>30</v>
      </c>
      <c r="E882" s="2" t="s">
        <v>42</v>
      </c>
      <c r="F882" s="2" t="s">
        <v>43</v>
      </c>
      <c r="G882" s="2" t="s">
        <v>19</v>
      </c>
      <c r="H882" s="2" t="s">
        <v>116</v>
      </c>
      <c r="I882" s="2" t="s">
        <v>210</v>
      </c>
      <c r="J882" s="5">
        <v>2</v>
      </c>
      <c r="K882" s="6">
        <v>1400</v>
      </c>
      <c r="L882" s="6">
        <f t="shared" si="39"/>
        <v>2800</v>
      </c>
      <c r="M882" s="7">
        <v>7.2999999999999995E-2</v>
      </c>
      <c r="N882" s="6">
        <f t="shared" si="40"/>
        <v>204.39999999999998</v>
      </c>
      <c r="O882" s="6">
        <f t="shared" si="41"/>
        <v>2595.6</v>
      </c>
    </row>
    <row r="883" spans="1:15">
      <c r="A883" s="8" t="s">
        <v>1096</v>
      </c>
      <c r="B883" s="9">
        <v>45497</v>
      </c>
      <c r="C883" s="10">
        <v>2024</v>
      </c>
      <c r="D883" s="8" t="s">
        <v>68</v>
      </c>
      <c r="E883" s="8" t="s">
        <v>17</v>
      </c>
      <c r="F883" s="8" t="s">
        <v>18</v>
      </c>
      <c r="G883" s="8" t="s">
        <v>37</v>
      </c>
      <c r="H883" s="8" t="s">
        <v>91</v>
      </c>
      <c r="I883" s="8" t="s">
        <v>344</v>
      </c>
      <c r="J883" s="11">
        <v>2</v>
      </c>
      <c r="K883" s="12">
        <v>2450</v>
      </c>
      <c r="L883" s="12">
        <f t="shared" si="39"/>
        <v>4900</v>
      </c>
      <c r="M883" s="13">
        <v>0</v>
      </c>
      <c r="N883" s="12">
        <f t="shared" si="40"/>
        <v>0</v>
      </c>
      <c r="O883" s="12">
        <f t="shared" si="41"/>
        <v>4900</v>
      </c>
    </row>
    <row r="884" spans="1:15">
      <c r="A884" s="2" t="s">
        <v>1097</v>
      </c>
      <c r="B884" s="3">
        <v>45634</v>
      </c>
      <c r="C884" s="4">
        <v>2024</v>
      </c>
      <c r="D884" s="2" t="s">
        <v>16</v>
      </c>
      <c r="E884" s="2" t="s">
        <v>35</v>
      </c>
      <c r="F884" s="2" t="s">
        <v>36</v>
      </c>
      <c r="G884" s="2" t="s">
        <v>37</v>
      </c>
      <c r="H884" s="2" t="s">
        <v>38</v>
      </c>
      <c r="I884" s="2" t="s">
        <v>436</v>
      </c>
      <c r="J884" s="5">
        <v>1</v>
      </c>
      <c r="K884" s="6">
        <v>1750</v>
      </c>
      <c r="L884" s="6">
        <f t="shared" si="39"/>
        <v>1750</v>
      </c>
      <c r="M884" s="7">
        <v>8.5000000000000006E-2</v>
      </c>
      <c r="N884" s="6">
        <f t="shared" si="40"/>
        <v>148.75</v>
      </c>
      <c r="O884" s="6">
        <f t="shared" si="41"/>
        <v>1601.25</v>
      </c>
    </row>
    <row r="885" spans="1:15">
      <c r="A885" s="8" t="s">
        <v>1098</v>
      </c>
      <c r="B885" s="9">
        <v>45413</v>
      </c>
      <c r="C885" s="10">
        <v>2024</v>
      </c>
      <c r="D885" s="8" t="s">
        <v>48</v>
      </c>
      <c r="E885" s="8" t="s">
        <v>35</v>
      </c>
      <c r="F885" s="8" t="s">
        <v>36</v>
      </c>
      <c r="G885" s="8" t="s">
        <v>26</v>
      </c>
      <c r="H885" s="8" t="s">
        <v>101</v>
      </c>
      <c r="I885" s="8" t="s">
        <v>235</v>
      </c>
      <c r="J885" s="11">
        <v>1</v>
      </c>
      <c r="K885" s="12">
        <v>85000</v>
      </c>
      <c r="L885" s="12">
        <f t="shared" si="39"/>
        <v>85000</v>
      </c>
      <c r="M885" s="13">
        <v>0</v>
      </c>
      <c r="N885" s="12">
        <f t="shared" si="40"/>
        <v>0</v>
      </c>
      <c r="O885" s="12">
        <f t="shared" si="41"/>
        <v>85000</v>
      </c>
    </row>
    <row r="886" spans="1:15">
      <c r="A886" s="2" t="s">
        <v>1099</v>
      </c>
      <c r="B886" s="3">
        <v>45540</v>
      </c>
      <c r="C886" s="4">
        <v>2024</v>
      </c>
      <c r="D886" s="2" t="s">
        <v>123</v>
      </c>
      <c r="E886" s="2" t="s">
        <v>42</v>
      </c>
      <c r="F886" s="2" t="s">
        <v>43</v>
      </c>
      <c r="G886" s="2" t="s">
        <v>57</v>
      </c>
      <c r="H886" s="2" t="s">
        <v>200</v>
      </c>
      <c r="I886" s="2" t="s">
        <v>201</v>
      </c>
      <c r="J886" s="5">
        <v>1</v>
      </c>
      <c r="K886" s="6">
        <v>5500</v>
      </c>
      <c r="L886" s="6">
        <f t="shared" si="39"/>
        <v>5500</v>
      </c>
      <c r="M886" s="7">
        <v>0</v>
      </c>
      <c r="N886" s="6">
        <f t="shared" si="40"/>
        <v>0</v>
      </c>
      <c r="O886" s="6">
        <f t="shared" si="41"/>
        <v>5500</v>
      </c>
    </row>
    <row r="887" spans="1:15">
      <c r="A887" s="8" t="s">
        <v>1100</v>
      </c>
      <c r="B887" s="9">
        <v>45825</v>
      </c>
      <c r="C887" s="10">
        <v>2025</v>
      </c>
      <c r="D887" s="8" t="s">
        <v>100</v>
      </c>
      <c r="E887" s="8" t="s">
        <v>35</v>
      </c>
      <c r="F887" s="8" t="s">
        <v>36</v>
      </c>
      <c r="G887" s="8" t="s">
        <v>19</v>
      </c>
      <c r="H887" s="8" t="s">
        <v>107</v>
      </c>
      <c r="I887" s="8" t="s">
        <v>108</v>
      </c>
      <c r="J887" s="11">
        <v>12</v>
      </c>
      <c r="K887" s="12">
        <v>1750</v>
      </c>
      <c r="L887" s="12">
        <f t="shared" si="39"/>
        <v>21000</v>
      </c>
      <c r="M887" s="13">
        <v>5.0999999999999997E-2</v>
      </c>
      <c r="N887" s="12">
        <f t="shared" si="40"/>
        <v>1071</v>
      </c>
      <c r="O887" s="12">
        <f t="shared" si="41"/>
        <v>19929</v>
      </c>
    </row>
    <row r="888" spans="1:15">
      <c r="A888" s="2" t="s">
        <v>1101</v>
      </c>
      <c r="B888" s="3">
        <v>45255</v>
      </c>
      <c r="C888" s="4">
        <v>2023</v>
      </c>
      <c r="D888" s="2" t="s">
        <v>41</v>
      </c>
      <c r="E888" s="2" t="s">
        <v>17</v>
      </c>
      <c r="F888" s="2" t="s">
        <v>18</v>
      </c>
      <c r="G888" s="2" t="s">
        <v>64</v>
      </c>
      <c r="H888" s="2" t="s">
        <v>97</v>
      </c>
      <c r="I888" s="2" t="s">
        <v>134</v>
      </c>
      <c r="J888" s="5">
        <v>1</v>
      </c>
      <c r="K888" s="6">
        <v>4100</v>
      </c>
      <c r="L888" s="6">
        <f t="shared" si="39"/>
        <v>4100</v>
      </c>
      <c r="M888" s="7">
        <v>0</v>
      </c>
      <c r="N888" s="6">
        <f t="shared" si="40"/>
        <v>0</v>
      </c>
      <c r="O888" s="6">
        <f t="shared" si="41"/>
        <v>4100</v>
      </c>
    </row>
    <row r="889" spans="1:15">
      <c r="A889" s="8" t="s">
        <v>1102</v>
      </c>
      <c r="B889" s="9">
        <v>45269</v>
      </c>
      <c r="C889" s="10">
        <v>2023</v>
      </c>
      <c r="D889" s="8" t="s">
        <v>16</v>
      </c>
      <c r="E889" s="8" t="s">
        <v>17</v>
      </c>
      <c r="F889" s="8" t="s">
        <v>18</v>
      </c>
      <c r="G889" s="8" t="s">
        <v>44</v>
      </c>
      <c r="H889" s="8" t="s">
        <v>223</v>
      </c>
      <c r="I889" s="8" t="s">
        <v>239</v>
      </c>
      <c r="J889" s="11">
        <v>2</v>
      </c>
      <c r="K889" s="12">
        <v>1150</v>
      </c>
      <c r="L889" s="12">
        <f t="shared" si="39"/>
        <v>2300</v>
      </c>
      <c r="M889" s="13">
        <v>6.0999999999999999E-2</v>
      </c>
      <c r="N889" s="12">
        <f t="shared" si="40"/>
        <v>140.29999999999998</v>
      </c>
      <c r="O889" s="12">
        <f t="shared" si="41"/>
        <v>2159.6999999999998</v>
      </c>
    </row>
    <row r="890" spans="1:15">
      <c r="A890" s="2" t="s">
        <v>1103</v>
      </c>
      <c r="B890" s="3">
        <v>45174</v>
      </c>
      <c r="C890" s="4">
        <v>2023</v>
      </c>
      <c r="D890" s="2" t="s">
        <v>123</v>
      </c>
      <c r="E890" s="2" t="s">
        <v>17</v>
      </c>
      <c r="F890" s="2" t="s">
        <v>18</v>
      </c>
      <c r="G890" s="2" t="s">
        <v>53</v>
      </c>
      <c r="H890" s="2" t="s">
        <v>54</v>
      </c>
      <c r="I890" s="2" t="s">
        <v>595</v>
      </c>
      <c r="J890" s="5">
        <v>2</v>
      </c>
      <c r="K890" s="6">
        <v>340</v>
      </c>
      <c r="L890" s="6">
        <f t="shared" si="39"/>
        <v>680</v>
      </c>
      <c r="M890" s="7">
        <v>1.4999999999999999E-2</v>
      </c>
      <c r="N890" s="6">
        <f t="shared" si="40"/>
        <v>10.199999999999999</v>
      </c>
      <c r="O890" s="6">
        <f t="shared" si="41"/>
        <v>669.8</v>
      </c>
    </row>
    <row r="891" spans="1:15">
      <c r="A891" s="8" t="s">
        <v>1104</v>
      </c>
      <c r="B891" s="9">
        <v>45012</v>
      </c>
      <c r="C891" s="10">
        <v>2023</v>
      </c>
      <c r="D891" s="8" t="s">
        <v>78</v>
      </c>
      <c r="E891" s="8" t="s">
        <v>24</v>
      </c>
      <c r="F891" s="8" t="s">
        <v>25</v>
      </c>
      <c r="G891" s="8" t="s">
        <v>19</v>
      </c>
      <c r="H891" s="8" t="s">
        <v>141</v>
      </c>
      <c r="I891" s="8" t="s">
        <v>278</v>
      </c>
      <c r="J891" s="11">
        <v>2</v>
      </c>
      <c r="K891" s="12">
        <v>240</v>
      </c>
      <c r="L891" s="12">
        <f t="shared" si="39"/>
        <v>480</v>
      </c>
      <c r="M891" s="13">
        <v>8.9999999999999993E-3</v>
      </c>
      <c r="N891" s="12">
        <f t="shared" si="40"/>
        <v>4.3199999999999994</v>
      </c>
      <c r="O891" s="12">
        <f t="shared" si="41"/>
        <v>475.68</v>
      </c>
    </row>
    <row r="892" spans="1:15">
      <c r="A892" s="2" t="s">
        <v>1105</v>
      </c>
      <c r="B892" s="3">
        <v>45816</v>
      </c>
      <c r="C892" s="4">
        <v>2025</v>
      </c>
      <c r="D892" s="2" t="s">
        <v>100</v>
      </c>
      <c r="E892" s="2" t="s">
        <v>35</v>
      </c>
      <c r="F892" s="2" t="s">
        <v>36</v>
      </c>
      <c r="G892" s="2" t="s">
        <v>64</v>
      </c>
      <c r="H892" s="2" t="s">
        <v>97</v>
      </c>
      <c r="I892" s="2" t="s">
        <v>300</v>
      </c>
      <c r="J892" s="5">
        <v>1</v>
      </c>
      <c r="K892" s="6">
        <v>2800</v>
      </c>
      <c r="L892" s="6">
        <f t="shared" si="39"/>
        <v>2800</v>
      </c>
      <c r="M892" s="7">
        <v>0</v>
      </c>
      <c r="N892" s="6">
        <f t="shared" si="40"/>
        <v>0</v>
      </c>
      <c r="O892" s="6">
        <f t="shared" si="41"/>
        <v>2800</v>
      </c>
    </row>
    <row r="893" spans="1:15">
      <c r="A893" s="8" t="s">
        <v>1106</v>
      </c>
      <c r="B893" s="9">
        <v>45834</v>
      </c>
      <c r="C893" s="10">
        <v>2025</v>
      </c>
      <c r="D893" s="8" t="s">
        <v>100</v>
      </c>
      <c r="E893" s="8" t="s">
        <v>24</v>
      </c>
      <c r="F893" s="8" t="s">
        <v>25</v>
      </c>
      <c r="G893" s="8" t="s">
        <v>64</v>
      </c>
      <c r="H893" s="8" t="s">
        <v>97</v>
      </c>
      <c r="I893" s="8" t="s">
        <v>212</v>
      </c>
      <c r="J893" s="11">
        <v>1</v>
      </c>
      <c r="K893" s="12">
        <v>3750</v>
      </c>
      <c r="L893" s="12">
        <f t="shared" si="39"/>
        <v>3750</v>
      </c>
      <c r="M893" s="13">
        <v>0.18099999999999999</v>
      </c>
      <c r="N893" s="12">
        <f t="shared" si="40"/>
        <v>678.75</v>
      </c>
      <c r="O893" s="12">
        <f t="shared" si="41"/>
        <v>3071.25</v>
      </c>
    </row>
    <row r="894" spans="1:15">
      <c r="A894" s="2" t="s">
        <v>1107</v>
      </c>
      <c r="B894" s="3">
        <v>44988</v>
      </c>
      <c r="C894" s="4">
        <v>2023</v>
      </c>
      <c r="D894" s="2" t="s">
        <v>78</v>
      </c>
      <c r="E894" s="2" t="s">
        <v>24</v>
      </c>
      <c r="F894" s="2" t="s">
        <v>25</v>
      </c>
      <c r="G894" s="2" t="s">
        <v>57</v>
      </c>
      <c r="H894" s="2" t="s">
        <v>200</v>
      </c>
      <c r="I894" s="2" t="s">
        <v>425</v>
      </c>
      <c r="J894" s="5">
        <v>2</v>
      </c>
      <c r="K894" s="6">
        <v>1600</v>
      </c>
      <c r="L894" s="6">
        <f t="shared" si="39"/>
        <v>3200</v>
      </c>
      <c r="M894" s="7">
        <v>0</v>
      </c>
      <c r="N894" s="6">
        <f t="shared" si="40"/>
        <v>0</v>
      </c>
      <c r="O894" s="6">
        <f t="shared" si="41"/>
        <v>3200</v>
      </c>
    </row>
    <row r="895" spans="1:15">
      <c r="A895" s="8" t="s">
        <v>1108</v>
      </c>
      <c r="B895" s="9">
        <v>45133</v>
      </c>
      <c r="C895" s="10">
        <v>2023</v>
      </c>
      <c r="D895" s="8" t="s">
        <v>68</v>
      </c>
      <c r="E895" s="8" t="s">
        <v>42</v>
      </c>
      <c r="F895" s="8" t="s">
        <v>43</v>
      </c>
      <c r="G895" s="8" t="s">
        <v>64</v>
      </c>
      <c r="H895" s="8" t="s">
        <v>65</v>
      </c>
      <c r="I895" s="8" t="s">
        <v>73</v>
      </c>
      <c r="J895" s="11">
        <v>1</v>
      </c>
      <c r="K895" s="12">
        <v>1400</v>
      </c>
      <c r="L895" s="12">
        <f t="shared" si="39"/>
        <v>1400</v>
      </c>
      <c r="M895" s="13">
        <v>0.17599999999999999</v>
      </c>
      <c r="N895" s="12">
        <f t="shared" si="40"/>
        <v>246.39999999999998</v>
      </c>
      <c r="O895" s="12">
        <f t="shared" si="41"/>
        <v>1153.5999999999999</v>
      </c>
    </row>
    <row r="896" spans="1:15">
      <c r="A896" s="2" t="s">
        <v>1109</v>
      </c>
      <c r="B896" s="3">
        <v>45887</v>
      </c>
      <c r="C896" s="4">
        <v>2025</v>
      </c>
      <c r="D896" s="2" t="s">
        <v>52</v>
      </c>
      <c r="E896" s="2" t="s">
        <v>17</v>
      </c>
      <c r="F896" s="2" t="s">
        <v>18</v>
      </c>
      <c r="G896" s="2" t="s">
        <v>19</v>
      </c>
      <c r="H896" s="2" t="s">
        <v>116</v>
      </c>
      <c r="I896" s="2" t="s">
        <v>139</v>
      </c>
      <c r="J896" s="5">
        <v>6</v>
      </c>
      <c r="K896" s="6">
        <v>1500</v>
      </c>
      <c r="L896" s="6">
        <f t="shared" si="39"/>
        <v>9000</v>
      </c>
      <c r="M896" s="7">
        <v>4.5999999999999999E-2</v>
      </c>
      <c r="N896" s="6">
        <f t="shared" si="40"/>
        <v>414</v>
      </c>
      <c r="O896" s="6">
        <f t="shared" si="41"/>
        <v>8586</v>
      </c>
    </row>
    <row r="897" spans="1:15">
      <c r="A897" s="8" t="s">
        <v>1110</v>
      </c>
      <c r="B897" s="9">
        <v>45888</v>
      </c>
      <c r="C897" s="10">
        <v>2025</v>
      </c>
      <c r="D897" s="8" t="s">
        <v>52</v>
      </c>
      <c r="E897" s="8" t="s">
        <v>17</v>
      </c>
      <c r="F897" s="8" t="s">
        <v>18</v>
      </c>
      <c r="G897" s="8" t="s">
        <v>53</v>
      </c>
      <c r="H897" s="8" t="s">
        <v>136</v>
      </c>
      <c r="I897" s="8" t="s">
        <v>346</v>
      </c>
      <c r="J897" s="11">
        <v>2</v>
      </c>
      <c r="K897" s="12">
        <v>1000</v>
      </c>
      <c r="L897" s="12">
        <f t="shared" si="39"/>
        <v>2000</v>
      </c>
      <c r="M897" s="13">
        <v>0</v>
      </c>
      <c r="N897" s="12">
        <f t="shared" si="40"/>
        <v>0</v>
      </c>
      <c r="O897" s="12">
        <f t="shared" si="41"/>
        <v>2000</v>
      </c>
    </row>
    <row r="898" spans="1:15">
      <c r="A898" s="2" t="s">
        <v>1111</v>
      </c>
      <c r="B898" s="3">
        <v>46010</v>
      </c>
      <c r="C898" s="4">
        <v>2025</v>
      </c>
      <c r="D898" s="2" t="s">
        <v>16</v>
      </c>
      <c r="E898" s="2" t="s">
        <v>17</v>
      </c>
      <c r="F898" s="2" t="s">
        <v>18</v>
      </c>
      <c r="G898" s="2" t="s">
        <v>44</v>
      </c>
      <c r="H898" s="2" t="s">
        <v>45</v>
      </c>
      <c r="I898" s="2" t="s">
        <v>307</v>
      </c>
      <c r="J898" s="5">
        <v>2</v>
      </c>
      <c r="K898" s="6">
        <v>330</v>
      </c>
      <c r="L898" s="6">
        <f t="shared" ref="L898:L961" si="42">J898*K898</f>
        <v>660</v>
      </c>
      <c r="M898" s="7">
        <v>5.6000000000000001E-2</v>
      </c>
      <c r="N898" s="6">
        <f t="shared" ref="N898:N961" si="43">L898*M898</f>
        <v>36.96</v>
      </c>
      <c r="O898" s="6">
        <f t="shared" ref="O898:O961" si="44">L898-N898</f>
        <v>623.04</v>
      </c>
    </row>
    <row r="899" spans="1:15">
      <c r="A899" s="8" t="s">
        <v>1112</v>
      </c>
      <c r="B899" s="9">
        <v>45765</v>
      </c>
      <c r="C899" s="10">
        <v>2025</v>
      </c>
      <c r="D899" s="8" t="s">
        <v>30</v>
      </c>
      <c r="E899" s="8" t="s">
        <v>24</v>
      </c>
      <c r="F899" s="8" t="s">
        <v>25</v>
      </c>
      <c r="G899" s="8" t="s">
        <v>31</v>
      </c>
      <c r="H899" s="8" t="s">
        <v>124</v>
      </c>
      <c r="I899" s="8" t="s">
        <v>508</v>
      </c>
      <c r="J899" s="11">
        <v>1</v>
      </c>
      <c r="K899" s="12">
        <v>190</v>
      </c>
      <c r="L899" s="12">
        <f t="shared" si="42"/>
        <v>190</v>
      </c>
      <c r="M899" s="13">
        <v>0</v>
      </c>
      <c r="N899" s="12">
        <f t="shared" si="43"/>
        <v>0</v>
      </c>
      <c r="O899" s="12">
        <f t="shared" si="44"/>
        <v>190</v>
      </c>
    </row>
    <row r="900" spans="1:15">
      <c r="A900" s="2" t="s">
        <v>1113</v>
      </c>
      <c r="B900" s="3">
        <v>45970</v>
      </c>
      <c r="C900" s="4">
        <v>2025</v>
      </c>
      <c r="D900" s="2" t="s">
        <v>41</v>
      </c>
      <c r="E900" s="2" t="s">
        <v>24</v>
      </c>
      <c r="F900" s="2" t="s">
        <v>25</v>
      </c>
      <c r="G900" s="2" t="s">
        <v>53</v>
      </c>
      <c r="H900" s="2" t="s">
        <v>136</v>
      </c>
      <c r="I900" s="2" t="s">
        <v>346</v>
      </c>
      <c r="J900" s="5">
        <v>1</v>
      </c>
      <c r="K900" s="6">
        <v>4050</v>
      </c>
      <c r="L900" s="6">
        <f t="shared" si="42"/>
        <v>4050</v>
      </c>
      <c r="M900" s="7">
        <v>5.3999999999999999E-2</v>
      </c>
      <c r="N900" s="6">
        <f t="shared" si="43"/>
        <v>218.7</v>
      </c>
      <c r="O900" s="6">
        <f t="shared" si="44"/>
        <v>3831.3</v>
      </c>
    </row>
    <row r="901" spans="1:15">
      <c r="A901" s="8" t="s">
        <v>1114</v>
      </c>
      <c r="B901" s="9">
        <v>45892</v>
      </c>
      <c r="C901" s="10">
        <v>2025</v>
      </c>
      <c r="D901" s="8" t="s">
        <v>52</v>
      </c>
      <c r="E901" s="8" t="s">
        <v>17</v>
      </c>
      <c r="F901" s="8" t="s">
        <v>18</v>
      </c>
      <c r="G901" s="8" t="s">
        <v>44</v>
      </c>
      <c r="H901" s="8" t="s">
        <v>45</v>
      </c>
      <c r="I901" s="8" t="s">
        <v>217</v>
      </c>
      <c r="J901" s="11">
        <v>1</v>
      </c>
      <c r="K901" s="12">
        <v>490</v>
      </c>
      <c r="L901" s="12">
        <f t="shared" si="42"/>
        <v>490</v>
      </c>
      <c r="M901" s="13">
        <v>9.9000000000000005E-2</v>
      </c>
      <c r="N901" s="12">
        <f t="shared" si="43"/>
        <v>48.510000000000005</v>
      </c>
      <c r="O901" s="12">
        <f t="shared" si="44"/>
        <v>441.49</v>
      </c>
    </row>
    <row r="902" spans="1:15">
      <c r="A902" s="2" t="s">
        <v>1115</v>
      </c>
      <c r="B902" s="3">
        <v>44962</v>
      </c>
      <c r="C902" s="4">
        <v>2023</v>
      </c>
      <c r="D902" s="2" t="s">
        <v>23</v>
      </c>
      <c r="E902" s="2" t="s">
        <v>35</v>
      </c>
      <c r="F902" s="2" t="s">
        <v>36</v>
      </c>
      <c r="G902" s="2" t="s">
        <v>64</v>
      </c>
      <c r="H902" s="2" t="s">
        <v>94</v>
      </c>
      <c r="I902" s="2" t="s">
        <v>170</v>
      </c>
      <c r="J902" s="5">
        <v>2</v>
      </c>
      <c r="K902" s="6">
        <v>4300</v>
      </c>
      <c r="L902" s="6">
        <f t="shared" si="42"/>
        <v>8600</v>
      </c>
      <c r="M902" s="7">
        <v>0.28899999999999998</v>
      </c>
      <c r="N902" s="6">
        <f t="shared" si="43"/>
        <v>2485.3999999999996</v>
      </c>
      <c r="O902" s="6">
        <f t="shared" si="44"/>
        <v>6114.6</v>
      </c>
    </row>
    <row r="903" spans="1:15">
      <c r="A903" s="8" t="s">
        <v>1116</v>
      </c>
      <c r="B903" s="9">
        <v>45495</v>
      </c>
      <c r="C903" s="10">
        <v>2024</v>
      </c>
      <c r="D903" s="8" t="s">
        <v>68</v>
      </c>
      <c r="E903" s="8" t="s">
        <v>42</v>
      </c>
      <c r="F903" s="8" t="s">
        <v>43</v>
      </c>
      <c r="G903" s="8" t="s">
        <v>57</v>
      </c>
      <c r="H903" s="8" t="s">
        <v>131</v>
      </c>
      <c r="I903" s="8" t="s">
        <v>166</v>
      </c>
      <c r="J903" s="11">
        <v>1</v>
      </c>
      <c r="K903" s="12">
        <v>3700</v>
      </c>
      <c r="L903" s="12">
        <f t="shared" si="42"/>
        <v>3700</v>
      </c>
      <c r="M903" s="13">
        <v>0.20100000000000001</v>
      </c>
      <c r="N903" s="12">
        <f t="shared" si="43"/>
        <v>743.7</v>
      </c>
      <c r="O903" s="12">
        <f t="shared" si="44"/>
        <v>2956.3</v>
      </c>
    </row>
    <row r="904" spans="1:15">
      <c r="A904" s="2" t="s">
        <v>1117</v>
      </c>
      <c r="B904" s="3">
        <v>45206</v>
      </c>
      <c r="C904" s="4">
        <v>2023</v>
      </c>
      <c r="D904" s="2" t="s">
        <v>72</v>
      </c>
      <c r="E904" s="2" t="s">
        <v>35</v>
      </c>
      <c r="F904" s="2" t="s">
        <v>36</v>
      </c>
      <c r="G904" s="2" t="s">
        <v>37</v>
      </c>
      <c r="H904" s="2" t="s">
        <v>104</v>
      </c>
      <c r="I904" s="2" t="s">
        <v>325</v>
      </c>
      <c r="J904" s="5">
        <v>2</v>
      </c>
      <c r="K904" s="6">
        <v>850</v>
      </c>
      <c r="L904" s="6">
        <f t="shared" si="42"/>
        <v>1700</v>
      </c>
      <c r="M904" s="7">
        <v>0</v>
      </c>
      <c r="N904" s="6">
        <f t="shared" si="43"/>
        <v>0</v>
      </c>
      <c r="O904" s="6">
        <f t="shared" si="44"/>
        <v>1700</v>
      </c>
    </row>
    <row r="905" spans="1:15">
      <c r="A905" s="8" t="s">
        <v>1118</v>
      </c>
      <c r="B905" s="9">
        <v>45249</v>
      </c>
      <c r="C905" s="10">
        <v>2023</v>
      </c>
      <c r="D905" s="8" t="s">
        <v>41</v>
      </c>
      <c r="E905" s="8" t="s">
        <v>35</v>
      </c>
      <c r="F905" s="8" t="s">
        <v>36</v>
      </c>
      <c r="G905" s="8" t="s">
        <v>26</v>
      </c>
      <c r="H905" s="8" t="s">
        <v>101</v>
      </c>
      <c r="I905" s="8" t="s">
        <v>102</v>
      </c>
      <c r="J905" s="11">
        <v>1</v>
      </c>
      <c r="K905" s="12">
        <v>22500</v>
      </c>
      <c r="L905" s="12">
        <f t="shared" si="42"/>
        <v>22500</v>
      </c>
      <c r="M905" s="13">
        <v>0.113</v>
      </c>
      <c r="N905" s="12">
        <f t="shared" si="43"/>
        <v>2542.5</v>
      </c>
      <c r="O905" s="12">
        <f t="shared" si="44"/>
        <v>19957.5</v>
      </c>
    </row>
    <row r="906" spans="1:15">
      <c r="A906" s="2" t="s">
        <v>1119</v>
      </c>
      <c r="B906" s="3">
        <v>45796</v>
      </c>
      <c r="C906" s="4">
        <v>2025</v>
      </c>
      <c r="D906" s="2" t="s">
        <v>48</v>
      </c>
      <c r="E906" s="2" t="s">
        <v>17</v>
      </c>
      <c r="F906" s="2" t="s">
        <v>18</v>
      </c>
      <c r="G906" s="2" t="s">
        <v>53</v>
      </c>
      <c r="H906" s="2" t="s">
        <v>285</v>
      </c>
      <c r="I906" s="2" t="s">
        <v>286</v>
      </c>
      <c r="J906" s="5">
        <v>1</v>
      </c>
      <c r="K906" s="6">
        <v>1400</v>
      </c>
      <c r="L906" s="6">
        <f t="shared" si="42"/>
        <v>1400</v>
      </c>
      <c r="M906" s="7">
        <v>0</v>
      </c>
      <c r="N906" s="6">
        <f t="shared" si="43"/>
        <v>0</v>
      </c>
      <c r="O906" s="6">
        <f t="shared" si="44"/>
        <v>1400</v>
      </c>
    </row>
    <row r="907" spans="1:15">
      <c r="A907" s="8" t="s">
        <v>1120</v>
      </c>
      <c r="B907" s="9">
        <v>45126</v>
      </c>
      <c r="C907" s="10">
        <v>2023</v>
      </c>
      <c r="D907" s="8" t="s">
        <v>68</v>
      </c>
      <c r="E907" s="8" t="s">
        <v>35</v>
      </c>
      <c r="F907" s="8" t="s">
        <v>36</v>
      </c>
      <c r="G907" s="8" t="s">
        <v>26</v>
      </c>
      <c r="H907" s="8" t="s">
        <v>27</v>
      </c>
      <c r="I907" s="8" t="s">
        <v>237</v>
      </c>
      <c r="J907" s="11">
        <v>1</v>
      </c>
      <c r="K907" s="12">
        <v>77000</v>
      </c>
      <c r="L907" s="12">
        <f t="shared" si="42"/>
        <v>77000</v>
      </c>
      <c r="M907" s="13">
        <v>0</v>
      </c>
      <c r="N907" s="12">
        <f t="shared" si="43"/>
        <v>0</v>
      </c>
      <c r="O907" s="12">
        <f t="shared" si="44"/>
        <v>77000</v>
      </c>
    </row>
    <row r="908" spans="1:15">
      <c r="A908" s="2" t="s">
        <v>1121</v>
      </c>
      <c r="B908" s="3">
        <v>45351</v>
      </c>
      <c r="C908" s="4">
        <v>2024</v>
      </c>
      <c r="D908" s="2" t="s">
        <v>23</v>
      </c>
      <c r="E908" s="2" t="s">
        <v>17</v>
      </c>
      <c r="F908" s="2" t="s">
        <v>18</v>
      </c>
      <c r="G908" s="2" t="s">
        <v>26</v>
      </c>
      <c r="H908" s="2" t="s">
        <v>113</v>
      </c>
      <c r="I908" s="2" t="s">
        <v>856</v>
      </c>
      <c r="J908" s="5">
        <v>1</v>
      </c>
      <c r="K908" s="6">
        <v>10500</v>
      </c>
      <c r="L908" s="6">
        <f t="shared" si="42"/>
        <v>10500</v>
      </c>
      <c r="M908" s="7">
        <v>0</v>
      </c>
      <c r="N908" s="6">
        <f t="shared" si="43"/>
        <v>0</v>
      </c>
      <c r="O908" s="6">
        <f t="shared" si="44"/>
        <v>10500</v>
      </c>
    </row>
    <row r="909" spans="1:15">
      <c r="A909" s="8" t="s">
        <v>1122</v>
      </c>
      <c r="B909" s="9">
        <v>45884</v>
      </c>
      <c r="C909" s="10">
        <v>2025</v>
      </c>
      <c r="D909" s="8" t="s">
        <v>52</v>
      </c>
      <c r="E909" s="8" t="s">
        <v>42</v>
      </c>
      <c r="F909" s="8" t="s">
        <v>43</v>
      </c>
      <c r="G909" s="8" t="s">
        <v>19</v>
      </c>
      <c r="H909" s="8" t="s">
        <v>20</v>
      </c>
      <c r="I909" s="8" t="s">
        <v>250</v>
      </c>
      <c r="J909" s="11">
        <v>3</v>
      </c>
      <c r="K909" s="12">
        <v>1700</v>
      </c>
      <c r="L909" s="12">
        <f t="shared" si="42"/>
        <v>5100</v>
      </c>
      <c r="M909" s="13">
        <v>3.0000000000000001E-3</v>
      </c>
      <c r="N909" s="12">
        <f t="shared" si="43"/>
        <v>15.3</v>
      </c>
      <c r="O909" s="12">
        <f t="shared" si="44"/>
        <v>5084.7</v>
      </c>
    </row>
    <row r="910" spans="1:15">
      <c r="A910" s="2" t="s">
        <v>1123</v>
      </c>
      <c r="B910" s="3">
        <v>45451</v>
      </c>
      <c r="C910" s="4">
        <v>2024</v>
      </c>
      <c r="D910" s="2" t="s">
        <v>100</v>
      </c>
      <c r="E910" s="2" t="s">
        <v>24</v>
      </c>
      <c r="F910" s="2" t="s">
        <v>25</v>
      </c>
      <c r="G910" s="2" t="s">
        <v>57</v>
      </c>
      <c r="H910" s="2" t="s">
        <v>131</v>
      </c>
      <c r="I910" s="2" t="s">
        <v>166</v>
      </c>
      <c r="J910" s="5">
        <v>1</v>
      </c>
      <c r="K910" s="6">
        <v>4500</v>
      </c>
      <c r="L910" s="6">
        <f t="shared" si="42"/>
        <v>4500</v>
      </c>
      <c r="M910" s="7">
        <v>0</v>
      </c>
      <c r="N910" s="6">
        <f t="shared" si="43"/>
        <v>0</v>
      </c>
      <c r="O910" s="6">
        <f t="shared" si="44"/>
        <v>4500</v>
      </c>
    </row>
    <row r="911" spans="1:15">
      <c r="A911" s="8" t="s">
        <v>1124</v>
      </c>
      <c r="B911" s="9">
        <v>45951</v>
      </c>
      <c r="C911" s="10">
        <v>2025</v>
      </c>
      <c r="D911" s="8" t="s">
        <v>72</v>
      </c>
      <c r="E911" s="8" t="s">
        <v>35</v>
      </c>
      <c r="F911" s="8" t="s">
        <v>36</v>
      </c>
      <c r="G911" s="8" t="s">
        <v>53</v>
      </c>
      <c r="H911" s="8" t="s">
        <v>136</v>
      </c>
      <c r="I911" s="8" t="s">
        <v>346</v>
      </c>
      <c r="J911" s="11">
        <v>1</v>
      </c>
      <c r="K911" s="12">
        <v>4100</v>
      </c>
      <c r="L911" s="12">
        <f t="shared" si="42"/>
        <v>4100</v>
      </c>
      <c r="M911" s="13">
        <v>0</v>
      </c>
      <c r="N911" s="12">
        <f t="shared" si="43"/>
        <v>0</v>
      </c>
      <c r="O911" s="12">
        <f t="shared" si="44"/>
        <v>4100</v>
      </c>
    </row>
    <row r="912" spans="1:15">
      <c r="A912" s="2" t="s">
        <v>1125</v>
      </c>
      <c r="B912" s="3">
        <v>45342</v>
      </c>
      <c r="C912" s="4">
        <v>2024</v>
      </c>
      <c r="D912" s="2" t="s">
        <v>23</v>
      </c>
      <c r="E912" s="2" t="s">
        <v>17</v>
      </c>
      <c r="F912" s="2" t="s">
        <v>18</v>
      </c>
      <c r="G912" s="2" t="s">
        <v>26</v>
      </c>
      <c r="H912" s="2" t="s">
        <v>110</v>
      </c>
      <c r="I912" s="2" t="s">
        <v>313</v>
      </c>
      <c r="J912" s="5">
        <v>1</v>
      </c>
      <c r="K912" s="6">
        <v>60500</v>
      </c>
      <c r="L912" s="6">
        <f t="shared" si="42"/>
        <v>60500</v>
      </c>
      <c r="M912" s="7">
        <v>0</v>
      </c>
      <c r="N912" s="6">
        <f t="shared" si="43"/>
        <v>0</v>
      </c>
      <c r="O912" s="6">
        <f t="shared" si="44"/>
        <v>60500</v>
      </c>
    </row>
    <row r="913" spans="1:15">
      <c r="A913" s="8" t="s">
        <v>1126</v>
      </c>
      <c r="B913" s="9">
        <v>45548</v>
      </c>
      <c r="C913" s="10">
        <v>2024</v>
      </c>
      <c r="D913" s="8" t="s">
        <v>123</v>
      </c>
      <c r="E913" s="8" t="s">
        <v>17</v>
      </c>
      <c r="F913" s="8" t="s">
        <v>18</v>
      </c>
      <c r="G913" s="8" t="s">
        <v>26</v>
      </c>
      <c r="H913" s="8" t="s">
        <v>27</v>
      </c>
      <c r="I913" s="8" t="s">
        <v>28</v>
      </c>
      <c r="J913" s="11">
        <v>1</v>
      </c>
      <c r="K913" s="12">
        <v>62000</v>
      </c>
      <c r="L913" s="12">
        <f t="shared" si="42"/>
        <v>62000</v>
      </c>
      <c r="M913" s="13">
        <v>0</v>
      </c>
      <c r="N913" s="12">
        <f t="shared" si="43"/>
        <v>0</v>
      </c>
      <c r="O913" s="12">
        <f t="shared" si="44"/>
        <v>62000</v>
      </c>
    </row>
    <row r="914" spans="1:15">
      <c r="A914" s="2" t="s">
        <v>1127</v>
      </c>
      <c r="B914" s="3">
        <v>44936</v>
      </c>
      <c r="C914" s="4">
        <v>2023</v>
      </c>
      <c r="D914" s="2" t="s">
        <v>169</v>
      </c>
      <c r="E914" s="2" t="s">
        <v>17</v>
      </c>
      <c r="F914" s="2" t="s">
        <v>18</v>
      </c>
      <c r="G914" s="2" t="s">
        <v>31</v>
      </c>
      <c r="H914" s="2" t="s">
        <v>124</v>
      </c>
      <c r="I914" s="2" t="s">
        <v>125</v>
      </c>
      <c r="J914" s="5">
        <v>8</v>
      </c>
      <c r="K914" s="6">
        <v>150</v>
      </c>
      <c r="L914" s="6">
        <f t="shared" si="42"/>
        <v>1200</v>
      </c>
      <c r="M914" s="7">
        <v>0</v>
      </c>
      <c r="N914" s="6">
        <f t="shared" si="43"/>
        <v>0</v>
      </c>
      <c r="O914" s="6">
        <f t="shared" si="44"/>
        <v>1200</v>
      </c>
    </row>
    <row r="915" spans="1:15">
      <c r="A915" s="8" t="s">
        <v>1128</v>
      </c>
      <c r="B915" s="9">
        <v>45287</v>
      </c>
      <c r="C915" s="10">
        <v>2023</v>
      </c>
      <c r="D915" s="8" t="s">
        <v>16</v>
      </c>
      <c r="E915" s="8" t="s">
        <v>42</v>
      </c>
      <c r="F915" s="8" t="s">
        <v>43</v>
      </c>
      <c r="G915" s="8" t="s">
        <v>31</v>
      </c>
      <c r="H915" s="8" t="s">
        <v>124</v>
      </c>
      <c r="I915" s="8" t="s">
        <v>125</v>
      </c>
      <c r="J915" s="11">
        <v>3</v>
      </c>
      <c r="K915" s="12">
        <v>1150</v>
      </c>
      <c r="L915" s="12">
        <f t="shared" si="42"/>
        <v>3450</v>
      </c>
      <c r="M915" s="13">
        <v>0</v>
      </c>
      <c r="N915" s="12">
        <f t="shared" si="43"/>
        <v>0</v>
      </c>
      <c r="O915" s="12">
        <f t="shared" si="44"/>
        <v>3450</v>
      </c>
    </row>
    <row r="916" spans="1:15">
      <c r="A916" s="2" t="s">
        <v>1129</v>
      </c>
      <c r="B916" s="3">
        <v>46004</v>
      </c>
      <c r="C916" s="4">
        <v>2025</v>
      </c>
      <c r="D916" s="2" t="s">
        <v>16</v>
      </c>
      <c r="E916" s="2" t="s">
        <v>24</v>
      </c>
      <c r="F916" s="2" t="s">
        <v>25</v>
      </c>
      <c r="G916" s="2" t="s">
        <v>19</v>
      </c>
      <c r="H916" s="2" t="s">
        <v>20</v>
      </c>
      <c r="I916" s="2" t="s">
        <v>540</v>
      </c>
      <c r="J916" s="5">
        <v>6</v>
      </c>
      <c r="K916" s="6">
        <v>550</v>
      </c>
      <c r="L916" s="6">
        <f t="shared" si="42"/>
        <v>3300</v>
      </c>
      <c r="M916" s="7">
        <v>0</v>
      </c>
      <c r="N916" s="6">
        <f t="shared" si="43"/>
        <v>0</v>
      </c>
      <c r="O916" s="6">
        <f t="shared" si="44"/>
        <v>3300</v>
      </c>
    </row>
    <row r="917" spans="1:15">
      <c r="A917" s="8" t="s">
        <v>1130</v>
      </c>
      <c r="B917" s="9">
        <v>45594</v>
      </c>
      <c r="C917" s="10">
        <v>2024</v>
      </c>
      <c r="D917" s="8" t="s">
        <v>72</v>
      </c>
      <c r="E917" s="8" t="s">
        <v>17</v>
      </c>
      <c r="F917" s="8" t="s">
        <v>18</v>
      </c>
      <c r="G917" s="8" t="s">
        <v>37</v>
      </c>
      <c r="H917" s="8" t="s">
        <v>38</v>
      </c>
      <c r="I917" s="8" t="s">
        <v>89</v>
      </c>
      <c r="J917" s="11">
        <v>1</v>
      </c>
      <c r="K917" s="12">
        <v>3600</v>
      </c>
      <c r="L917" s="12">
        <f t="shared" si="42"/>
        <v>3600</v>
      </c>
      <c r="M917" s="13">
        <v>3.6999999999999998E-2</v>
      </c>
      <c r="N917" s="12">
        <f t="shared" si="43"/>
        <v>133.19999999999999</v>
      </c>
      <c r="O917" s="12">
        <f t="shared" si="44"/>
        <v>3466.8</v>
      </c>
    </row>
    <row r="918" spans="1:15">
      <c r="A918" s="2" t="s">
        <v>1131</v>
      </c>
      <c r="B918" s="3">
        <v>44961</v>
      </c>
      <c r="C918" s="4">
        <v>2023</v>
      </c>
      <c r="D918" s="2" t="s">
        <v>23</v>
      </c>
      <c r="E918" s="2" t="s">
        <v>17</v>
      </c>
      <c r="F918" s="2" t="s">
        <v>18</v>
      </c>
      <c r="G918" s="2" t="s">
        <v>57</v>
      </c>
      <c r="H918" s="2" t="s">
        <v>58</v>
      </c>
      <c r="I918" s="2" t="s">
        <v>151</v>
      </c>
      <c r="J918" s="5">
        <v>1</v>
      </c>
      <c r="K918" s="6">
        <v>2000</v>
      </c>
      <c r="L918" s="6">
        <f t="shared" si="42"/>
        <v>2000</v>
      </c>
      <c r="M918" s="7">
        <v>9.9000000000000005E-2</v>
      </c>
      <c r="N918" s="6">
        <f t="shared" si="43"/>
        <v>198</v>
      </c>
      <c r="O918" s="6">
        <f t="shared" si="44"/>
        <v>1802</v>
      </c>
    </row>
    <row r="919" spans="1:15">
      <c r="A919" s="8" t="s">
        <v>1132</v>
      </c>
      <c r="B919" s="9">
        <v>45358</v>
      </c>
      <c r="C919" s="10">
        <v>2024</v>
      </c>
      <c r="D919" s="8" t="s">
        <v>78</v>
      </c>
      <c r="E919" s="8" t="s">
        <v>35</v>
      </c>
      <c r="F919" s="8" t="s">
        <v>36</v>
      </c>
      <c r="G919" s="8" t="s">
        <v>64</v>
      </c>
      <c r="H919" s="8" t="s">
        <v>94</v>
      </c>
      <c r="I919" s="8" t="s">
        <v>420</v>
      </c>
      <c r="J919" s="11">
        <v>1</v>
      </c>
      <c r="K919" s="12">
        <v>2100</v>
      </c>
      <c r="L919" s="12">
        <f t="shared" si="42"/>
        <v>2100</v>
      </c>
      <c r="M919" s="13">
        <v>0.14000000000000001</v>
      </c>
      <c r="N919" s="12">
        <f t="shared" si="43"/>
        <v>294</v>
      </c>
      <c r="O919" s="12">
        <f t="shared" si="44"/>
        <v>1806</v>
      </c>
    </row>
    <row r="920" spans="1:15">
      <c r="A920" s="2" t="s">
        <v>1133</v>
      </c>
      <c r="B920" s="3">
        <v>45644</v>
      </c>
      <c r="C920" s="4">
        <v>2024</v>
      </c>
      <c r="D920" s="2" t="s">
        <v>16</v>
      </c>
      <c r="E920" s="2" t="s">
        <v>24</v>
      </c>
      <c r="F920" s="2" t="s">
        <v>25</v>
      </c>
      <c r="G920" s="2" t="s">
        <v>31</v>
      </c>
      <c r="H920" s="2" t="s">
        <v>32</v>
      </c>
      <c r="I920" s="2" t="s">
        <v>33</v>
      </c>
      <c r="J920" s="5">
        <v>6</v>
      </c>
      <c r="K920" s="6">
        <v>460</v>
      </c>
      <c r="L920" s="6">
        <f t="shared" si="42"/>
        <v>2760</v>
      </c>
      <c r="M920" s="7">
        <v>2.5999999999999999E-2</v>
      </c>
      <c r="N920" s="6">
        <f t="shared" si="43"/>
        <v>71.759999999999991</v>
      </c>
      <c r="O920" s="6">
        <f t="shared" si="44"/>
        <v>2688.24</v>
      </c>
    </row>
    <row r="921" spans="1:15">
      <c r="A921" s="8" t="s">
        <v>1134</v>
      </c>
      <c r="B921" s="9">
        <v>44949</v>
      </c>
      <c r="C921" s="10">
        <v>2023</v>
      </c>
      <c r="D921" s="8" t="s">
        <v>169</v>
      </c>
      <c r="E921" s="8" t="s">
        <v>35</v>
      </c>
      <c r="F921" s="8" t="s">
        <v>36</v>
      </c>
      <c r="G921" s="8" t="s">
        <v>19</v>
      </c>
      <c r="H921" s="8" t="s">
        <v>116</v>
      </c>
      <c r="I921" s="8" t="s">
        <v>210</v>
      </c>
      <c r="J921" s="11">
        <v>1</v>
      </c>
      <c r="K921" s="12">
        <v>500</v>
      </c>
      <c r="L921" s="12">
        <f t="shared" si="42"/>
        <v>500</v>
      </c>
      <c r="M921" s="13">
        <v>4.7E-2</v>
      </c>
      <c r="N921" s="12">
        <f t="shared" si="43"/>
        <v>23.5</v>
      </c>
      <c r="O921" s="12">
        <f t="shared" si="44"/>
        <v>476.5</v>
      </c>
    </row>
    <row r="922" spans="1:15">
      <c r="A922" s="2" t="s">
        <v>1135</v>
      </c>
      <c r="B922" s="3">
        <v>45489</v>
      </c>
      <c r="C922" s="4">
        <v>2024</v>
      </c>
      <c r="D922" s="2" t="s">
        <v>68</v>
      </c>
      <c r="E922" s="2" t="s">
        <v>42</v>
      </c>
      <c r="F922" s="2" t="s">
        <v>43</v>
      </c>
      <c r="G922" s="2" t="s">
        <v>53</v>
      </c>
      <c r="H922" s="2" t="s">
        <v>54</v>
      </c>
      <c r="I922" s="2" t="s">
        <v>467</v>
      </c>
      <c r="J922" s="5">
        <v>5</v>
      </c>
      <c r="K922" s="6">
        <v>2100</v>
      </c>
      <c r="L922" s="6">
        <f t="shared" si="42"/>
        <v>10500</v>
      </c>
      <c r="M922" s="7">
        <v>0</v>
      </c>
      <c r="N922" s="6">
        <f t="shared" si="43"/>
        <v>0</v>
      </c>
      <c r="O922" s="6">
        <f t="shared" si="44"/>
        <v>10500</v>
      </c>
    </row>
    <row r="923" spans="1:15">
      <c r="A923" s="8" t="s">
        <v>1136</v>
      </c>
      <c r="B923" s="9">
        <v>45139</v>
      </c>
      <c r="C923" s="10">
        <v>2023</v>
      </c>
      <c r="D923" s="8" t="s">
        <v>52</v>
      </c>
      <c r="E923" s="8" t="s">
        <v>35</v>
      </c>
      <c r="F923" s="8" t="s">
        <v>36</v>
      </c>
      <c r="G923" s="8" t="s">
        <v>37</v>
      </c>
      <c r="H923" s="8" t="s">
        <v>104</v>
      </c>
      <c r="I923" s="8" t="s">
        <v>325</v>
      </c>
      <c r="J923" s="11">
        <v>1</v>
      </c>
      <c r="K923" s="12">
        <v>2300</v>
      </c>
      <c r="L923" s="12">
        <f t="shared" si="42"/>
        <v>2300</v>
      </c>
      <c r="M923" s="13">
        <v>3.9E-2</v>
      </c>
      <c r="N923" s="12">
        <f t="shared" si="43"/>
        <v>89.7</v>
      </c>
      <c r="O923" s="12">
        <f t="shared" si="44"/>
        <v>2210.3000000000002</v>
      </c>
    </row>
    <row r="924" spans="1:15">
      <c r="A924" s="2" t="s">
        <v>1137</v>
      </c>
      <c r="B924" s="3">
        <v>44936</v>
      </c>
      <c r="C924" s="4">
        <v>2023</v>
      </c>
      <c r="D924" s="2" t="s">
        <v>169</v>
      </c>
      <c r="E924" s="2" t="s">
        <v>24</v>
      </c>
      <c r="F924" s="2" t="s">
        <v>25</v>
      </c>
      <c r="G924" s="2" t="s">
        <v>26</v>
      </c>
      <c r="H924" s="2" t="s">
        <v>110</v>
      </c>
      <c r="I924" s="2" t="s">
        <v>330</v>
      </c>
      <c r="J924" s="5">
        <v>1</v>
      </c>
      <c r="K924" s="6">
        <v>23000</v>
      </c>
      <c r="L924" s="6">
        <f t="shared" si="42"/>
        <v>23000</v>
      </c>
      <c r="M924" s="7">
        <v>0</v>
      </c>
      <c r="N924" s="6">
        <f t="shared" si="43"/>
        <v>0</v>
      </c>
      <c r="O924" s="6">
        <f t="shared" si="44"/>
        <v>23000</v>
      </c>
    </row>
    <row r="925" spans="1:15">
      <c r="A925" s="8" t="s">
        <v>1138</v>
      </c>
      <c r="B925" s="9">
        <v>44968</v>
      </c>
      <c r="C925" s="10">
        <v>2023</v>
      </c>
      <c r="D925" s="8" t="s">
        <v>23</v>
      </c>
      <c r="E925" s="8" t="s">
        <v>42</v>
      </c>
      <c r="F925" s="8" t="s">
        <v>43</v>
      </c>
      <c r="G925" s="8" t="s">
        <v>26</v>
      </c>
      <c r="H925" s="8" t="s">
        <v>27</v>
      </c>
      <c r="I925" s="8" t="s">
        <v>336</v>
      </c>
      <c r="J925" s="11">
        <v>1</v>
      </c>
      <c r="K925" s="12">
        <v>13000</v>
      </c>
      <c r="L925" s="12">
        <f t="shared" si="42"/>
        <v>13000</v>
      </c>
      <c r="M925" s="13">
        <v>0</v>
      </c>
      <c r="N925" s="12">
        <f t="shared" si="43"/>
        <v>0</v>
      </c>
      <c r="O925" s="12">
        <f t="shared" si="44"/>
        <v>13000</v>
      </c>
    </row>
    <row r="926" spans="1:15">
      <c r="A926" s="2" t="s">
        <v>1139</v>
      </c>
      <c r="B926" s="3">
        <v>45433</v>
      </c>
      <c r="C926" s="4">
        <v>2024</v>
      </c>
      <c r="D926" s="2" t="s">
        <v>48</v>
      </c>
      <c r="E926" s="2" t="s">
        <v>24</v>
      </c>
      <c r="F926" s="2" t="s">
        <v>25</v>
      </c>
      <c r="G926" s="2" t="s">
        <v>53</v>
      </c>
      <c r="H926" s="2" t="s">
        <v>193</v>
      </c>
      <c r="I926" s="2" t="s">
        <v>194</v>
      </c>
      <c r="J926" s="5">
        <v>1</v>
      </c>
      <c r="K926" s="6">
        <v>800</v>
      </c>
      <c r="L926" s="6">
        <f t="shared" si="42"/>
        <v>800</v>
      </c>
      <c r="M926" s="7">
        <v>0</v>
      </c>
      <c r="N926" s="6">
        <f t="shared" si="43"/>
        <v>0</v>
      </c>
      <c r="O926" s="6">
        <f t="shared" si="44"/>
        <v>800</v>
      </c>
    </row>
    <row r="927" spans="1:15">
      <c r="A927" s="8" t="s">
        <v>1140</v>
      </c>
      <c r="B927" s="9">
        <v>45183</v>
      </c>
      <c r="C927" s="10">
        <v>2023</v>
      </c>
      <c r="D927" s="8" t="s">
        <v>123</v>
      </c>
      <c r="E927" s="8" t="s">
        <v>35</v>
      </c>
      <c r="F927" s="8" t="s">
        <v>36</v>
      </c>
      <c r="G927" s="8" t="s">
        <v>44</v>
      </c>
      <c r="H927" s="8" t="s">
        <v>45</v>
      </c>
      <c r="I927" s="8" t="s">
        <v>46</v>
      </c>
      <c r="J927" s="11">
        <v>12</v>
      </c>
      <c r="K927" s="12">
        <v>1150</v>
      </c>
      <c r="L927" s="12">
        <f t="shared" si="42"/>
        <v>13800</v>
      </c>
      <c r="M927" s="13">
        <v>0</v>
      </c>
      <c r="N927" s="12">
        <f t="shared" si="43"/>
        <v>0</v>
      </c>
      <c r="O927" s="12">
        <f t="shared" si="44"/>
        <v>13800</v>
      </c>
    </row>
    <row r="928" spans="1:15">
      <c r="A928" s="2" t="s">
        <v>1141</v>
      </c>
      <c r="B928" s="3">
        <v>45526</v>
      </c>
      <c r="C928" s="4">
        <v>2024</v>
      </c>
      <c r="D928" s="2" t="s">
        <v>52</v>
      </c>
      <c r="E928" s="2" t="s">
        <v>17</v>
      </c>
      <c r="F928" s="2" t="s">
        <v>18</v>
      </c>
      <c r="G928" s="2" t="s">
        <v>31</v>
      </c>
      <c r="H928" s="2" t="s">
        <v>84</v>
      </c>
      <c r="I928" s="2" t="s">
        <v>634</v>
      </c>
      <c r="J928" s="5">
        <v>10</v>
      </c>
      <c r="K928" s="6">
        <v>500</v>
      </c>
      <c r="L928" s="6">
        <f t="shared" si="42"/>
        <v>5000</v>
      </c>
      <c r="M928" s="7">
        <v>0</v>
      </c>
      <c r="N928" s="6">
        <f t="shared" si="43"/>
        <v>0</v>
      </c>
      <c r="O928" s="6">
        <f t="shared" si="44"/>
        <v>5000</v>
      </c>
    </row>
    <row r="929" spans="1:15">
      <c r="A929" s="8" t="s">
        <v>1142</v>
      </c>
      <c r="B929" s="9">
        <v>45591</v>
      </c>
      <c r="C929" s="10">
        <v>2024</v>
      </c>
      <c r="D929" s="8" t="s">
        <v>72</v>
      </c>
      <c r="E929" s="8" t="s">
        <v>42</v>
      </c>
      <c r="F929" s="8" t="s">
        <v>43</v>
      </c>
      <c r="G929" s="8" t="s">
        <v>26</v>
      </c>
      <c r="H929" s="8" t="s">
        <v>113</v>
      </c>
      <c r="I929" s="8" t="s">
        <v>856</v>
      </c>
      <c r="J929" s="11">
        <v>1</v>
      </c>
      <c r="K929" s="12">
        <v>75500</v>
      </c>
      <c r="L929" s="12">
        <f t="shared" si="42"/>
        <v>75500</v>
      </c>
      <c r="M929" s="13">
        <v>0</v>
      </c>
      <c r="N929" s="12">
        <f t="shared" si="43"/>
        <v>0</v>
      </c>
      <c r="O929" s="12">
        <f t="shared" si="44"/>
        <v>75500</v>
      </c>
    </row>
    <row r="930" spans="1:15">
      <c r="A930" s="2" t="s">
        <v>1143</v>
      </c>
      <c r="B930" s="3">
        <v>45916</v>
      </c>
      <c r="C930" s="4">
        <v>2025</v>
      </c>
      <c r="D930" s="2" t="s">
        <v>123</v>
      </c>
      <c r="E930" s="2" t="s">
        <v>24</v>
      </c>
      <c r="F930" s="2" t="s">
        <v>25</v>
      </c>
      <c r="G930" s="2" t="s">
        <v>53</v>
      </c>
      <c r="H930" s="2" t="s">
        <v>54</v>
      </c>
      <c r="I930" s="2" t="s">
        <v>55</v>
      </c>
      <c r="J930" s="5">
        <v>1</v>
      </c>
      <c r="K930" s="6">
        <v>2150</v>
      </c>
      <c r="L930" s="6">
        <f t="shared" si="42"/>
        <v>2150</v>
      </c>
      <c r="M930" s="7">
        <v>5.6000000000000001E-2</v>
      </c>
      <c r="N930" s="6">
        <f t="shared" si="43"/>
        <v>120.4</v>
      </c>
      <c r="O930" s="6">
        <f t="shared" si="44"/>
        <v>2029.6</v>
      </c>
    </row>
    <row r="931" spans="1:15">
      <c r="A931" s="8" t="s">
        <v>1144</v>
      </c>
      <c r="B931" s="9">
        <v>44965</v>
      </c>
      <c r="C931" s="10">
        <v>2023</v>
      </c>
      <c r="D931" s="8" t="s">
        <v>23</v>
      </c>
      <c r="E931" s="8" t="s">
        <v>35</v>
      </c>
      <c r="F931" s="8" t="s">
        <v>36</v>
      </c>
      <c r="G931" s="8" t="s">
        <v>19</v>
      </c>
      <c r="H931" s="8" t="s">
        <v>20</v>
      </c>
      <c r="I931" s="8" t="s">
        <v>540</v>
      </c>
      <c r="J931" s="11">
        <v>8</v>
      </c>
      <c r="K931" s="12">
        <v>1500</v>
      </c>
      <c r="L931" s="12">
        <f t="shared" si="42"/>
        <v>12000</v>
      </c>
      <c r="M931" s="13">
        <v>3.7999999999999999E-2</v>
      </c>
      <c r="N931" s="12">
        <f t="shared" si="43"/>
        <v>456</v>
      </c>
      <c r="O931" s="12">
        <f t="shared" si="44"/>
        <v>11544</v>
      </c>
    </row>
    <row r="932" spans="1:15">
      <c r="A932" s="2" t="s">
        <v>1145</v>
      </c>
      <c r="B932" s="3">
        <v>45698</v>
      </c>
      <c r="C932" s="4">
        <v>2025</v>
      </c>
      <c r="D932" s="2" t="s">
        <v>23</v>
      </c>
      <c r="E932" s="2" t="s">
        <v>24</v>
      </c>
      <c r="F932" s="2" t="s">
        <v>25</v>
      </c>
      <c r="G932" s="2" t="s">
        <v>44</v>
      </c>
      <c r="H932" s="2" t="s">
        <v>61</v>
      </c>
      <c r="I932" s="2" t="s">
        <v>377</v>
      </c>
      <c r="J932" s="5">
        <v>4</v>
      </c>
      <c r="K932" s="6">
        <v>750</v>
      </c>
      <c r="L932" s="6">
        <f t="shared" si="42"/>
        <v>3000</v>
      </c>
      <c r="M932" s="7">
        <v>1E-3</v>
      </c>
      <c r="N932" s="6">
        <f t="shared" si="43"/>
        <v>3</v>
      </c>
      <c r="O932" s="6">
        <f t="shared" si="44"/>
        <v>2997</v>
      </c>
    </row>
    <row r="933" spans="1:15">
      <c r="A933" s="8" t="s">
        <v>1146</v>
      </c>
      <c r="B933" s="9">
        <v>45849</v>
      </c>
      <c r="C933" s="10">
        <v>2025</v>
      </c>
      <c r="D933" s="8" t="s">
        <v>68</v>
      </c>
      <c r="E933" s="8" t="s">
        <v>17</v>
      </c>
      <c r="F933" s="8" t="s">
        <v>18</v>
      </c>
      <c r="G933" s="8" t="s">
        <v>31</v>
      </c>
      <c r="H933" s="8" t="s">
        <v>81</v>
      </c>
      <c r="I933" s="8" t="s">
        <v>82</v>
      </c>
      <c r="J933" s="11">
        <v>1</v>
      </c>
      <c r="K933" s="12">
        <v>1000</v>
      </c>
      <c r="L933" s="12">
        <f t="shared" si="42"/>
        <v>1000</v>
      </c>
      <c r="M933" s="13">
        <v>3.0000000000000001E-3</v>
      </c>
      <c r="N933" s="12">
        <f t="shared" si="43"/>
        <v>3</v>
      </c>
      <c r="O933" s="12">
        <f t="shared" si="44"/>
        <v>997</v>
      </c>
    </row>
    <row r="934" spans="1:15">
      <c r="A934" s="2" t="s">
        <v>1147</v>
      </c>
      <c r="B934" s="3">
        <v>45108</v>
      </c>
      <c r="C934" s="4">
        <v>2023</v>
      </c>
      <c r="D934" s="2" t="s">
        <v>68</v>
      </c>
      <c r="E934" s="2" t="s">
        <v>17</v>
      </c>
      <c r="F934" s="2" t="s">
        <v>18</v>
      </c>
      <c r="G934" s="2" t="s">
        <v>53</v>
      </c>
      <c r="H934" s="2" t="s">
        <v>136</v>
      </c>
      <c r="I934" s="2" t="s">
        <v>137</v>
      </c>
      <c r="J934" s="5">
        <v>1</v>
      </c>
      <c r="K934" s="6">
        <v>1000</v>
      </c>
      <c r="L934" s="6">
        <f t="shared" si="42"/>
        <v>1000</v>
      </c>
      <c r="M934" s="7">
        <v>0</v>
      </c>
      <c r="N934" s="6">
        <f t="shared" si="43"/>
        <v>0</v>
      </c>
      <c r="O934" s="6">
        <f t="shared" si="44"/>
        <v>1000</v>
      </c>
    </row>
    <row r="935" spans="1:15">
      <c r="A935" s="8" t="s">
        <v>1148</v>
      </c>
      <c r="B935" s="9">
        <v>45775</v>
      </c>
      <c r="C935" s="10">
        <v>2025</v>
      </c>
      <c r="D935" s="8" t="s">
        <v>30</v>
      </c>
      <c r="E935" s="8" t="s">
        <v>35</v>
      </c>
      <c r="F935" s="8" t="s">
        <v>36</v>
      </c>
      <c r="G935" s="8" t="s">
        <v>19</v>
      </c>
      <c r="H935" s="8" t="s">
        <v>107</v>
      </c>
      <c r="I935" s="8" t="s">
        <v>242</v>
      </c>
      <c r="J935" s="11">
        <v>1</v>
      </c>
      <c r="K935" s="12">
        <v>1450</v>
      </c>
      <c r="L935" s="12">
        <f t="shared" si="42"/>
        <v>1450</v>
      </c>
      <c r="M935" s="13">
        <v>3.7999999999999999E-2</v>
      </c>
      <c r="N935" s="12">
        <f t="shared" si="43"/>
        <v>55.1</v>
      </c>
      <c r="O935" s="12">
        <f t="shared" si="44"/>
        <v>1394.9</v>
      </c>
    </row>
    <row r="936" spans="1:15">
      <c r="A936" s="2" t="s">
        <v>1149</v>
      </c>
      <c r="B936" s="3">
        <v>45500</v>
      </c>
      <c r="C936" s="4">
        <v>2024</v>
      </c>
      <c r="D936" s="2" t="s">
        <v>68</v>
      </c>
      <c r="E936" s="2" t="s">
        <v>24</v>
      </c>
      <c r="F936" s="2" t="s">
        <v>25</v>
      </c>
      <c r="G936" s="2" t="s">
        <v>64</v>
      </c>
      <c r="H936" s="2" t="s">
        <v>65</v>
      </c>
      <c r="I936" s="2" t="s">
        <v>309</v>
      </c>
      <c r="J936" s="5">
        <v>2</v>
      </c>
      <c r="K936" s="6">
        <v>4500</v>
      </c>
      <c r="L936" s="6">
        <f t="shared" si="42"/>
        <v>9000</v>
      </c>
      <c r="M936" s="7">
        <v>0</v>
      </c>
      <c r="N936" s="6">
        <f t="shared" si="43"/>
        <v>0</v>
      </c>
      <c r="O936" s="6">
        <f t="shared" si="44"/>
        <v>9000</v>
      </c>
    </row>
    <row r="937" spans="1:15">
      <c r="A937" s="8" t="s">
        <v>1150</v>
      </c>
      <c r="B937" s="9">
        <v>45024</v>
      </c>
      <c r="C937" s="10">
        <v>2023</v>
      </c>
      <c r="D937" s="8" t="s">
        <v>30</v>
      </c>
      <c r="E937" s="8" t="s">
        <v>35</v>
      </c>
      <c r="F937" s="8" t="s">
        <v>36</v>
      </c>
      <c r="G937" s="8" t="s">
        <v>31</v>
      </c>
      <c r="H937" s="8" t="s">
        <v>81</v>
      </c>
      <c r="I937" s="8" t="s">
        <v>148</v>
      </c>
      <c r="J937" s="11">
        <v>4</v>
      </c>
      <c r="K937" s="12">
        <v>1050</v>
      </c>
      <c r="L937" s="12">
        <f t="shared" si="42"/>
        <v>4200</v>
      </c>
      <c r="M937" s="13">
        <v>0</v>
      </c>
      <c r="N937" s="12">
        <f t="shared" si="43"/>
        <v>0</v>
      </c>
      <c r="O937" s="12">
        <f t="shared" si="44"/>
        <v>4200</v>
      </c>
    </row>
    <row r="938" spans="1:15">
      <c r="A938" s="2" t="s">
        <v>1151</v>
      </c>
      <c r="B938" s="3">
        <v>45431</v>
      </c>
      <c r="C938" s="4">
        <v>2024</v>
      </c>
      <c r="D938" s="2" t="s">
        <v>48</v>
      </c>
      <c r="E938" s="2" t="s">
        <v>24</v>
      </c>
      <c r="F938" s="2" t="s">
        <v>25</v>
      </c>
      <c r="G938" s="2" t="s">
        <v>31</v>
      </c>
      <c r="H938" s="2" t="s">
        <v>32</v>
      </c>
      <c r="I938" s="2" t="s">
        <v>198</v>
      </c>
      <c r="J938" s="5">
        <v>1</v>
      </c>
      <c r="K938" s="6">
        <v>650</v>
      </c>
      <c r="L938" s="6">
        <f t="shared" si="42"/>
        <v>650</v>
      </c>
      <c r="M938" s="7">
        <v>0</v>
      </c>
      <c r="N938" s="6">
        <f t="shared" si="43"/>
        <v>0</v>
      </c>
      <c r="O938" s="6">
        <f t="shared" si="44"/>
        <v>650</v>
      </c>
    </row>
    <row r="939" spans="1:15">
      <c r="A939" s="8" t="s">
        <v>1152</v>
      </c>
      <c r="B939" s="9">
        <v>45830</v>
      </c>
      <c r="C939" s="10">
        <v>2025</v>
      </c>
      <c r="D939" s="8" t="s">
        <v>100</v>
      </c>
      <c r="E939" s="8" t="s">
        <v>35</v>
      </c>
      <c r="F939" s="8" t="s">
        <v>36</v>
      </c>
      <c r="G939" s="8" t="s">
        <v>26</v>
      </c>
      <c r="H939" s="8" t="s">
        <v>110</v>
      </c>
      <c r="I939" s="8" t="s">
        <v>214</v>
      </c>
      <c r="J939" s="11">
        <v>2</v>
      </c>
      <c r="K939" s="12">
        <v>33000</v>
      </c>
      <c r="L939" s="12">
        <f t="shared" si="42"/>
        <v>66000</v>
      </c>
      <c r="M939" s="13">
        <v>0</v>
      </c>
      <c r="N939" s="12">
        <f t="shared" si="43"/>
        <v>0</v>
      </c>
      <c r="O939" s="12">
        <f t="shared" si="44"/>
        <v>66000</v>
      </c>
    </row>
    <row r="940" spans="1:15">
      <c r="A940" s="2" t="s">
        <v>1153</v>
      </c>
      <c r="B940" s="3">
        <v>45328</v>
      </c>
      <c r="C940" s="4">
        <v>2024</v>
      </c>
      <c r="D940" s="2" t="s">
        <v>23</v>
      </c>
      <c r="E940" s="2" t="s">
        <v>17</v>
      </c>
      <c r="F940" s="2" t="s">
        <v>18</v>
      </c>
      <c r="G940" s="2" t="s">
        <v>26</v>
      </c>
      <c r="H940" s="2" t="s">
        <v>101</v>
      </c>
      <c r="I940" s="2" t="s">
        <v>229</v>
      </c>
      <c r="J940" s="5">
        <v>1</v>
      </c>
      <c r="K940" s="6">
        <v>15500</v>
      </c>
      <c r="L940" s="6">
        <f t="shared" si="42"/>
        <v>15500</v>
      </c>
      <c r="M940" s="7">
        <v>0.125</v>
      </c>
      <c r="N940" s="6">
        <f t="shared" si="43"/>
        <v>1937.5</v>
      </c>
      <c r="O940" s="6">
        <f t="shared" si="44"/>
        <v>13562.5</v>
      </c>
    </row>
    <row r="941" spans="1:15">
      <c r="A941" s="8" t="s">
        <v>1154</v>
      </c>
      <c r="B941" s="9">
        <v>45525</v>
      </c>
      <c r="C941" s="10">
        <v>2024</v>
      </c>
      <c r="D941" s="8" t="s">
        <v>52</v>
      </c>
      <c r="E941" s="8" t="s">
        <v>35</v>
      </c>
      <c r="F941" s="8" t="s">
        <v>36</v>
      </c>
      <c r="G941" s="8" t="s">
        <v>31</v>
      </c>
      <c r="H941" s="8" t="s">
        <v>124</v>
      </c>
      <c r="I941" s="8" t="s">
        <v>264</v>
      </c>
      <c r="J941" s="11">
        <v>2</v>
      </c>
      <c r="K941" s="12">
        <v>360</v>
      </c>
      <c r="L941" s="12">
        <f t="shared" si="42"/>
        <v>720</v>
      </c>
      <c r="M941" s="13">
        <v>2.9000000000000001E-2</v>
      </c>
      <c r="N941" s="12">
        <f t="shared" si="43"/>
        <v>20.880000000000003</v>
      </c>
      <c r="O941" s="12">
        <f t="shared" si="44"/>
        <v>699.12</v>
      </c>
    </row>
    <row r="942" spans="1:15">
      <c r="A942" s="2" t="s">
        <v>1155</v>
      </c>
      <c r="B942" s="3">
        <v>45017</v>
      </c>
      <c r="C942" s="4">
        <v>2023</v>
      </c>
      <c r="D942" s="2" t="s">
        <v>30</v>
      </c>
      <c r="E942" s="2" t="s">
        <v>24</v>
      </c>
      <c r="F942" s="2" t="s">
        <v>25</v>
      </c>
      <c r="G942" s="2" t="s">
        <v>53</v>
      </c>
      <c r="H942" s="2" t="s">
        <v>285</v>
      </c>
      <c r="I942" s="2" t="s">
        <v>286</v>
      </c>
      <c r="J942" s="5">
        <v>1</v>
      </c>
      <c r="K942" s="6">
        <v>3800</v>
      </c>
      <c r="L942" s="6">
        <f t="shared" si="42"/>
        <v>3800</v>
      </c>
      <c r="M942" s="7">
        <v>0</v>
      </c>
      <c r="N942" s="6">
        <f t="shared" si="43"/>
        <v>0</v>
      </c>
      <c r="O942" s="6">
        <f t="shared" si="44"/>
        <v>3800</v>
      </c>
    </row>
    <row r="943" spans="1:15">
      <c r="A943" s="8" t="s">
        <v>1156</v>
      </c>
      <c r="B943" s="9">
        <v>45413</v>
      </c>
      <c r="C943" s="10">
        <v>2024</v>
      </c>
      <c r="D943" s="8" t="s">
        <v>48</v>
      </c>
      <c r="E943" s="8" t="s">
        <v>17</v>
      </c>
      <c r="F943" s="8" t="s">
        <v>18</v>
      </c>
      <c r="G943" s="8" t="s">
        <v>19</v>
      </c>
      <c r="H943" s="8" t="s">
        <v>69</v>
      </c>
      <c r="I943" s="8" t="s">
        <v>315</v>
      </c>
      <c r="J943" s="11">
        <v>6</v>
      </c>
      <c r="K943" s="12">
        <v>600</v>
      </c>
      <c r="L943" s="12">
        <f t="shared" si="42"/>
        <v>3600</v>
      </c>
      <c r="M943" s="13">
        <v>4.0000000000000001E-3</v>
      </c>
      <c r="N943" s="12">
        <f t="shared" si="43"/>
        <v>14.4</v>
      </c>
      <c r="O943" s="12">
        <f t="shared" si="44"/>
        <v>3585.6</v>
      </c>
    </row>
    <row r="944" spans="1:15">
      <c r="A944" s="2" t="s">
        <v>1157</v>
      </c>
      <c r="B944" s="3">
        <v>45276</v>
      </c>
      <c r="C944" s="4">
        <v>2023</v>
      </c>
      <c r="D944" s="2" t="s">
        <v>16</v>
      </c>
      <c r="E944" s="2" t="s">
        <v>24</v>
      </c>
      <c r="F944" s="2" t="s">
        <v>25</v>
      </c>
      <c r="G944" s="2" t="s">
        <v>44</v>
      </c>
      <c r="H944" s="2" t="s">
        <v>61</v>
      </c>
      <c r="I944" s="2" t="s">
        <v>377</v>
      </c>
      <c r="J944" s="5">
        <v>1</v>
      </c>
      <c r="K944" s="6">
        <v>1300</v>
      </c>
      <c r="L944" s="6">
        <f t="shared" si="42"/>
        <v>1300</v>
      </c>
      <c r="M944" s="7">
        <v>9.5000000000000001E-2</v>
      </c>
      <c r="N944" s="6">
        <f t="shared" si="43"/>
        <v>123.5</v>
      </c>
      <c r="O944" s="6">
        <f t="shared" si="44"/>
        <v>1176.5</v>
      </c>
    </row>
    <row r="945" spans="1:15">
      <c r="A945" s="8" t="s">
        <v>1158</v>
      </c>
      <c r="B945" s="9">
        <v>45080</v>
      </c>
      <c r="C945" s="10">
        <v>2023</v>
      </c>
      <c r="D945" s="8" t="s">
        <v>100</v>
      </c>
      <c r="E945" s="8" t="s">
        <v>17</v>
      </c>
      <c r="F945" s="8" t="s">
        <v>18</v>
      </c>
      <c r="G945" s="8" t="s">
        <v>26</v>
      </c>
      <c r="H945" s="8" t="s">
        <v>27</v>
      </c>
      <c r="I945" s="8" t="s">
        <v>28</v>
      </c>
      <c r="J945" s="11">
        <v>1</v>
      </c>
      <c r="K945" s="12">
        <v>9000</v>
      </c>
      <c r="L945" s="12">
        <f t="shared" si="42"/>
        <v>9000</v>
      </c>
      <c r="M945" s="13">
        <v>5.0999999999999997E-2</v>
      </c>
      <c r="N945" s="12">
        <f t="shared" si="43"/>
        <v>458.99999999999994</v>
      </c>
      <c r="O945" s="12">
        <f t="shared" si="44"/>
        <v>8541</v>
      </c>
    </row>
    <row r="946" spans="1:15">
      <c r="A946" s="2" t="s">
        <v>1159</v>
      </c>
      <c r="B946" s="3">
        <v>45177</v>
      </c>
      <c r="C946" s="4">
        <v>2023</v>
      </c>
      <c r="D946" s="2" t="s">
        <v>123</v>
      </c>
      <c r="E946" s="2" t="s">
        <v>35</v>
      </c>
      <c r="F946" s="2" t="s">
        <v>36</v>
      </c>
      <c r="G946" s="2" t="s">
        <v>31</v>
      </c>
      <c r="H946" s="2" t="s">
        <v>32</v>
      </c>
      <c r="I946" s="2" t="s">
        <v>292</v>
      </c>
      <c r="J946" s="5">
        <v>3</v>
      </c>
      <c r="K946" s="6">
        <v>410</v>
      </c>
      <c r="L946" s="6">
        <f t="shared" si="42"/>
        <v>1230</v>
      </c>
      <c r="M946" s="7">
        <v>1.6E-2</v>
      </c>
      <c r="N946" s="6">
        <f t="shared" si="43"/>
        <v>19.68</v>
      </c>
      <c r="O946" s="6">
        <f t="shared" si="44"/>
        <v>1210.32</v>
      </c>
    </row>
    <row r="947" spans="1:15">
      <c r="A947" s="8" t="s">
        <v>1160</v>
      </c>
      <c r="B947" s="9">
        <v>44946</v>
      </c>
      <c r="C947" s="10">
        <v>2023</v>
      </c>
      <c r="D947" s="8" t="s">
        <v>169</v>
      </c>
      <c r="E947" s="8" t="s">
        <v>42</v>
      </c>
      <c r="F947" s="8" t="s">
        <v>43</v>
      </c>
      <c r="G947" s="8" t="s">
        <v>19</v>
      </c>
      <c r="H947" s="8" t="s">
        <v>69</v>
      </c>
      <c r="I947" s="8" t="s">
        <v>407</v>
      </c>
      <c r="J947" s="11">
        <v>2</v>
      </c>
      <c r="K947" s="12">
        <v>230</v>
      </c>
      <c r="L947" s="12">
        <f t="shared" si="42"/>
        <v>460</v>
      </c>
      <c r="M947" s="13">
        <v>0</v>
      </c>
      <c r="N947" s="12">
        <f t="shared" si="43"/>
        <v>0</v>
      </c>
      <c r="O947" s="12">
        <f t="shared" si="44"/>
        <v>460</v>
      </c>
    </row>
    <row r="948" spans="1:15">
      <c r="A948" s="2" t="s">
        <v>1161</v>
      </c>
      <c r="B948" s="3">
        <v>45026</v>
      </c>
      <c r="C948" s="4">
        <v>2023</v>
      </c>
      <c r="D948" s="2" t="s">
        <v>30</v>
      </c>
      <c r="E948" s="2" t="s">
        <v>42</v>
      </c>
      <c r="F948" s="2" t="s">
        <v>43</v>
      </c>
      <c r="G948" s="2" t="s">
        <v>53</v>
      </c>
      <c r="H948" s="2" t="s">
        <v>285</v>
      </c>
      <c r="I948" s="2" t="s">
        <v>286</v>
      </c>
      <c r="J948" s="5">
        <v>2</v>
      </c>
      <c r="K948" s="6">
        <v>800</v>
      </c>
      <c r="L948" s="6">
        <f t="shared" si="42"/>
        <v>1600</v>
      </c>
      <c r="M948" s="7">
        <v>1.2E-2</v>
      </c>
      <c r="N948" s="6">
        <f t="shared" si="43"/>
        <v>19.2</v>
      </c>
      <c r="O948" s="6">
        <f t="shared" si="44"/>
        <v>1580.8</v>
      </c>
    </row>
    <row r="949" spans="1:15">
      <c r="A949" s="8" t="s">
        <v>1162</v>
      </c>
      <c r="B949" s="9">
        <v>45519</v>
      </c>
      <c r="C949" s="10">
        <v>2024</v>
      </c>
      <c r="D949" s="8" t="s">
        <v>52</v>
      </c>
      <c r="E949" s="8" t="s">
        <v>17</v>
      </c>
      <c r="F949" s="8" t="s">
        <v>18</v>
      </c>
      <c r="G949" s="8" t="s">
        <v>19</v>
      </c>
      <c r="H949" s="8" t="s">
        <v>116</v>
      </c>
      <c r="I949" s="8" t="s">
        <v>117</v>
      </c>
      <c r="J949" s="11">
        <v>1</v>
      </c>
      <c r="K949" s="12">
        <v>600</v>
      </c>
      <c r="L949" s="12">
        <f t="shared" si="42"/>
        <v>600</v>
      </c>
      <c r="M949" s="13">
        <v>5.8999999999999997E-2</v>
      </c>
      <c r="N949" s="12">
        <f t="shared" si="43"/>
        <v>35.4</v>
      </c>
      <c r="O949" s="12">
        <f t="shared" si="44"/>
        <v>564.6</v>
      </c>
    </row>
    <row r="950" spans="1:15">
      <c r="A950" s="2" t="s">
        <v>1163</v>
      </c>
      <c r="B950" s="3">
        <v>45306</v>
      </c>
      <c r="C950" s="4">
        <v>2024</v>
      </c>
      <c r="D950" s="2" t="s">
        <v>169</v>
      </c>
      <c r="E950" s="2" t="s">
        <v>35</v>
      </c>
      <c r="F950" s="2" t="s">
        <v>36</v>
      </c>
      <c r="G950" s="2" t="s">
        <v>31</v>
      </c>
      <c r="H950" s="2" t="s">
        <v>124</v>
      </c>
      <c r="I950" s="2" t="s">
        <v>508</v>
      </c>
      <c r="J950" s="5">
        <v>1</v>
      </c>
      <c r="K950" s="6">
        <v>1000</v>
      </c>
      <c r="L950" s="6">
        <f t="shared" si="42"/>
        <v>1000</v>
      </c>
      <c r="M950" s="7">
        <v>8.0000000000000002E-3</v>
      </c>
      <c r="N950" s="6">
        <f t="shared" si="43"/>
        <v>8</v>
      </c>
      <c r="O950" s="6">
        <f t="shared" si="44"/>
        <v>992</v>
      </c>
    </row>
    <row r="951" spans="1:15">
      <c r="A951" s="8" t="s">
        <v>1164</v>
      </c>
      <c r="B951" s="9">
        <v>45223</v>
      </c>
      <c r="C951" s="10">
        <v>2023</v>
      </c>
      <c r="D951" s="8" t="s">
        <v>72</v>
      </c>
      <c r="E951" s="8" t="s">
        <v>17</v>
      </c>
      <c r="F951" s="8" t="s">
        <v>18</v>
      </c>
      <c r="G951" s="8" t="s">
        <v>26</v>
      </c>
      <c r="H951" s="8" t="s">
        <v>113</v>
      </c>
      <c r="I951" s="8" t="s">
        <v>162</v>
      </c>
      <c r="J951" s="11">
        <v>1</v>
      </c>
      <c r="K951" s="12">
        <v>48000</v>
      </c>
      <c r="L951" s="12">
        <f t="shared" si="42"/>
        <v>48000</v>
      </c>
      <c r="M951" s="13">
        <v>9.5000000000000001E-2</v>
      </c>
      <c r="N951" s="12">
        <f t="shared" si="43"/>
        <v>4560</v>
      </c>
      <c r="O951" s="12">
        <f t="shared" si="44"/>
        <v>43440</v>
      </c>
    </row>
    <row r="952" spans="1:15">
      <c r="A952" s="2" t="s">
        <v>1165</v>
      </c>
      <c r="B952" s="3">
        <v>45542</v>
      </c>
      <c r="C952" s="4">
        <v>2024</v>
      </c>
      <c r="D952" s="2" t="s">
        <v>123</v>
      </c>
      <c r="E952" s="2" t="s">
        <v>42</v>
      </c>
      <c r="F952" s="2" t="s">
        <v>43</v>
      </c>
      <c r="G952" s="2" t="s">
        <v>57</v>
      </c>
      <c r="H952" s="2" t="s">
        <v>58</v>
      </c>
      <c r="I952" s="2" t="s">
        <v>87</v>
      </c>
      <c r="J952" s="5">
        <v>1</v>
      </c>
      <c r="K952" s="6">
        <v>5500</v>
      </c>
      <c r="L952" s="6">
        <f t="shared" si="42"/>
        <v>5500</v>
      </c>
      <c r="M952" s="7">
        <v>0.20499999999999999</v>
      </c>
      <c r="N952" s="6">
        <f t="shared" si="43"/>
        <v>1127.5</v>
      </c>
      <c r="O952" s="6">
        <f t="shared" si="44"/>
        <v>4372.5</v>
      </c>
    </row>
    <row r="953" spans="1:15">
      <c r="A953" s="8" t="s">
        <v>1166</v>
      </c>
      <c r="B953" s="9">
        <v>45353</v>
      </c>
      <c r="C953" s="10">
        <v>2024</v>
      </c>
      <c r="D953" s="8" t="s">
        <v>78</v>
      </c>
      <c r="E953" s="8" t="s">
        <v>35</v>
      </c>
      <c r="F953" s="8" t="s">
        <v>36</v>
      </c>
      <c r="G953" s="8" t="s">
        <v>64</v>
      </c>
      <c r="H953" s="8" t="s">
        <v>97</v>
      </c>
      <c r="I953" s="8" t="s">
        <v>134</v>
      </c>
      <c r="J953" s="11">
        <v>1</v>
      </c>
      <c r="K953" s="12">
        <v>4500</v>
      </c>
      <c r="L953" s="12">
        <f t="shared" si="42"/>
        <v>4500</v>
      </c>
      <c r="M953" s="13">
        <v>0</v>
      </c>
      <c r="N953" s="12">
        <f t="shared" si="43"/>
        <v>0</v>
      </c>
      <c r="O953" s="12">
        <f t="shared" si="44"/>
        <v>4500</v>
      </c>
    </row>
    <row r="954" spans="1:15">
      <c r="A954" s="2" t="s">
        <v>1167</v>
      </c>
      <c r="B954" s="3">
        <v>46018</v>
      </c>
      <c r="C954" s="4">
        <v>2025</v>
      </c>
      <c r="D954" s="2" t="s">
        <v>16</v>
      </c>
      <c r="E954" s="2" t="s">
        <v>24</v>
      </c>
      <c r="F954" s="2" t="s">
        <v>25</v>
      </c>
      <c r="G954" s="2" t="s">
        <v>53</v>
      </c>
      <c r="H954" s="2" t="s">
        <v>54</v>
      </c>
      <c r="I954" s="2" t="s">
        <v>268</v>
      </c>
      <c r="J954" s="5">
        <v>2</v>
      </c>
      <c r="K954" s="6">
        <v>4050</v>
      </c>
      <c r="L954" s="6">
        <f t="shared" si="42"/>
        <v>8100</v>
      </c>
      <c r="M954" s="7">
        <v>7.3999999999999996E-2</v>
      </c>
      <c r="N954" s="6">
        <f t="shared" si="43"/>
        <v>599.4</v>
      </c>
      <c r="O954" s="6">
        <f t="shared" si="44"/>
        <v>7500.6</v>
      </c>
    </row>
    <row r="955" spans="1:15">
      <c r="A955" s="8" t="s">
        <v>1168</v>
      </c>
      <c r="B955" s="9">
        <v>45336</v>
      </c>
      <c r="C955" s="10">
        <v>2024</v>
      </c>
      <c r="D955" s="8" t="s">
        <v>23</v>
      </c>
      <c r="E955" s="8" t="s">
        <v>24</v>
      </c>
      <c r="F955" s="8" t="s">
        <v>25</v>
      </c>
      <c r="G955" s="8" t="s">
        <v>26</v>
      </c>
      <c r="H955" s="8" t="s">
        <v>113</v>
      </c>
      <c r="I955" s="8" t="s">
        <v>332</v>
      </c>
      <c r="J955" s="11">
        <v>1</v>
      </c>
      <c r="K955" s="12">
        <v>53500</v>
      </c>
      <c r="L955" s="12">
        <f t="shared" si="42"/>
        <v>53500</v>
      </c>
      <c r="M955" s="13">
        <v>0</v>
      </c>
      <c r="N955" s="12">
        <f t="shared" si="43"/>
        <v>0</v>
      </c>
      <c r="O955" s="12">
        <f t="shared" si="44"/>
        <v>53500</v>
      </c>
    </row>
    <row r="956" spans="1:15">
      <c r="A956" s="2" t="s">
        <v>1169</v>
      </c>
      <c r="B956" s="3">
        <v>45395</v>
      </c>
      <c r="C956" s="4">
        <v>2024</v>
      </c>
      <c r="D956" s="2" t="s">
        <v>30</v>
      </c>
      <c r="E956" s="2" t="s">
        <v>17</v>
      </c>
      <c r="F956" s="2" t="s">
        <v>18</v>
      </c>
      <c r="G956" s="2" t="s">
        <v>19</v>
      </c>
      <c r="H956" s="2" t="s">
        <v>20</v>
      </c>
      <c r="I956" s="2" t="s">
        <v>120</v>
      </c>
      <c r="J956" s="5">
        <v>3</v>
      </c>
      <c r="K956" s="6">
        <v>2300</v>
      </c>
      <c r="L956" s="6">
        <f t="shared" si="42"/>
        <v>6900</v>
      </c>
      <c r="M956" s="7">
        <v>4.1000000000000002E-2</v>
      </c>
      <c r="N956" s="6">
        <f t="shared" si="43"/>
        <v>282.90000000000003</v>
      </c>
      <c r="O956" s="6">
        <f t="shared" si="44"/>
        <v>6617.1</v>
      </c>
    </row>
    <row r="957" spans="1:15">
      <c r="A957" s="8" t="s">
        <v>1170</v>
      </c>
      <c r="B957" s="9">
        <v>45842</v>
      </c>
      <c r="C957" s="10">
        <v>2025</v>
      </c>
      <c r="D957" s="8" t="s">
        <v>68</v>
      </c>
      <c r="E957" s="8" t="s">
        <v>35</v>
      </c>
      <c r="F957" s="8" t="s">
        <v>36</v>
      </c>
      <c r="G957" s="8" t="s">
        <v>64</v>
      </c>
      <c r="H957" s="8" t="s">
        <v>127</v>
      </c>
      <c r="I957" s="8" t="s">
        <v>317</v>
      </c>
      <c r="J957" s="11">
        <v>2</v>
      </c>
      <c r="K957" s="12">
        <v>2750</v>
      </c>
      <c r="L957" s="12">
        <f t="shared" si="42"/>
        <v>5500</v>
      </c>
      <c r="M957" s="13">
        <v>0</v>
      </c>
      <c r="N957" s="12">
        <f t="shared" si="43"/>
        <v>0</v>
      </c>
      <c r="O957" s="12">
        <f t="shared" si="44"/>
        <v>5500</v>
      </c>
    </row>
    <row r="958" spans="1:15">
      <c r="A958" s="2" t="s">
        <v>1171</v>
      </c>
      <c r="B958" s="3">
        <v>45214</v>
      </c>
      <c r="C958" s="4">
        <v>2023</v>
      </c>
      <c r="D958" s="2" t="s">
        <v>72</v>
      </c>
      <c r="E958" s="2" t="s">
        <v>35</v>
      </c>
      <c r="F958" s="2" t="s">
        <v>36</v>
      </c>
      <c r="G958" s="2" t="s">
        <v>31</v>
      </c>
      <c r="H958" s="2" t="s">
        <v>124</v>
      </c>
      <c r="I958" s="2" t="s">
        <v>266</v>
      </c>
      <c r="J958" s="5">
        <v>4</v>
      </c>
      <c r="K958" s="6">
        <v>750</v>
      </c>
      <c r="L958" s="6">
        <f t="shared" si="42"/>
        <v>3000</v>
      </c>
      <c r="M958" s="7">
        <v>4.0000000000000001E-3</v>
      </c>
      <c r="N958" s="6">
        <f t="shared" si="43"/>
        <v>12</v>
      </c>
      <c r="O958" s="6">
        <f t="shared" si="44"/>
        <v>2988</v>
      </c>
    </row>
    <row r="959" spans="1:15">
      <c r="A959" s="8" t="s">
        <v>1172</v>
      </c>
      <c r="B959" s="9">
        <v>45080</v>
      </c>
      <c r="C959" s="10">
        <v>2023</v>
      </c>
      <c r="D959" s="8" t="s">
        <v>100</v>
      </c>
      <c r="E959" s="8" t="s">
        <v>35</v>
      </c>
      <c r="F959" s="8" t="s">
        <v>36</v>
      </c>
      <c r="G959" s="8" t="s">
        <v>19</v>
      </c>
      <c r="H959" s="8" t="s">
        <v>116</v>
      </c>
      <c r="I959" s="8" t="s">
        <v>156</v>
      </c>
      <c r="J959" s="11">
        <v>5</v>
      </c>
      <c r="K959" s="12">
        <v>800</v>
      </c>
      <c r="L959" s="12">
        <f t="shared" si="42"/>
        <v>4000</v>
      </c>
      <c r="M959" s="13">
        <v>5.7000000000000002E-2</v>
      </c>
      <c r="N959" s="12">
        <f t="shared" si="43"/>
        <v>228</v>
      </c>
      <c r="O959" s="12">
        <f t="shared" si="44"/>
        <v>3772</v>
      </c>
    </row>
    <row r="960" spans="1:15">
      <c r="A960" s="2" t="s">
        <v>1173</v>
      </c>
      <c r="B960" s="3">
        <v>45738</v>
      </c>
      <c r="C960" s="4">
        <v>2025</v>
      </c>
      <c r="D960" s="2" t="s">
        <v>78</v>
      </c>
      <c r="E960" s="2" t="s">
        <v>17</v>
      </c>
      <c r="F960" s="2" t="s">
        <v>18</v>
      </c>
      <c r="G960" s="2" t="s">
        <v>53</v>
      </c>
      <c r="H960" s="2" t="s">
        <v>54</v>
      </c>
      <c r="I960" s="2" t="s">
        <v>595</v>
      </c>
      <c r="J960" s="5">
        <v>1</v>
      </c>
      <c r="K960" s="6">
        <v>600</v>
      </c>
      <c r="L960" s="6">
        <f t="shared" si="42"/>
        <v>600</v>
      </c>
      <c r="M960" s="7">
        <v>0</v>
      </c>
      <c r="N960" s="6">
        <f t="shared" si="43"/>
        <v>0</v>
      </c>
      <c r="O960" s="6">
        <f t="shared" si="44"/>
        <v>600</v>
      </c>
    </row>
    <row r="961" spans="1:15">
      <c r="A961" s="8" t="s">
        <v>1174</v>
      </c>
      <c r="B961" s="9">
        <v>45927</v>
      </c>
      <c r="C961" s="10">
        <v>2025</v>
      </c>
      <c r="D961" s="8" t="s">
        <v>123</v>
      </c>
      <c r="E961" s="8" t="s">
        <v>17</v>
      </c>
      <c r="F961" s="8" t="s">
        <v>18</v>
      </c>
      <c r="G961" s="8" t="s">
        <v>19</v>
      </c>
      <c r="H961" s="8" t="s">
        <v>107</v>
      </c>
      <c r="I961" s="8" t="s">
        <v>242</v>
      </c>
      <c r="J961" s="11">
        <v>12</v>
      </c>
      <c r="K961" s="12">
        <v>2350</v>
      </c>
      <c r="L961" s="12">
        <f t="shared" si="42"/>
        <v>28200</v>
      </c>
      <c r="M961" s="13">
        <v>0</v>
      </c>
      <c r="N961" s="12">
        <f t="shared" si="43"/>
        <v>0</v>
      </c>
      <c r="O961" s="12">
        <f t="shared" si="44"/>
        <v>28200</v>
      </c>
    </row>
    <row r="962" spans="1:15">
      <c r="A962" s="2" t="s">
        <v>1175</v>
      </c>
      <c r="B962" s="3">
        <v>45205</v>
      </c>
      <c r="C962" s="4">
        <v>2023</v>
      </c>
      <c r="D962" s="2" t="s">
        <v>72</v>
      </c>
      <c r="E962" s="2" t="s">
        <v>24</v>
      </c>
      <c r="F962" s="2" t="s">
        <v>25</v>
      </c>
      <c r="G962" s="2" t="s">
        <v>26</v>
      </c>
      <c r="H962" s="2" t="s">
        <v>113</v>
      </c>
      <c r="I962" s="2" t="s">
        <v>332</v>
      </c>
      <c r="J962" s="5">
        <v>1</v>
      </c>
      <c r="K962" s="6">
        <v>7500</v>
      </c>
      <c r="L962" s="6">
        <f t="shared" ref="L962:L1001" si="45">J962*K962</f>
        <v>7500</v>
      </c>
      <c r="M962" s="7">
        <v>0.11600000000000001</v>
      </c>
      <c r="N962" s="6">
        <f t="shared" ref="N962:N1001" si="46">L962*M962</f>
        <v>870</v>
      </c>
      <c r="O962" s="6">
        <f t="shared" ref="O962:O1001" si="47">L962-N962</f>
        <v>6630</v>
      </c>
    </row>
    <row r="963" spans="1:15">
      <c r="A963" s="8" t="s">
        <v>1176</v>
      </c>
      <c r="B963" s="9">
        <v>45248</v>
      </c>
      <c r="C963" s="10">
        <v>2023</v>
      </c>
      <c r="D963" s="8" t="s">
        <v>41</v>
      </c>
      <c r="E963" s="8" t="s">
        <v>24</v>
      </c>
      <c r="F963" s="8" t="s">
        <v>25</v>
      </c>
      <c r="G963" s="8" t="s">
        <v>53</v>
      </c>
      <c r="H963" s="8" t="s">
        <v>285</v>
      </c>
      <c r="I963" s="8" t="s">
        <v>713</v>
      </c>
      <c r="J963" s="11">
        <v>2</v>
      </c>
      <c r="K963" s="12">
        <v>3050</v>
      </c>
      <c r="L963" s="12">
        <f t="shared" si="45"/>
        <v>6100</v>
      </c>
      <c r="M963" s="13">
        <v>8.7999999999999995E-2</v>
      </c>
      <c r="N963" s="12">
        <f t="shared" si="46"/>
        <v>536.79999999999995</v>
      </c>
      <c r="O963" s="12">
        <f t="shared" si="47"/>
        <v>5563.2</v>
      </c>
    </row>
    <row r="964" spans="1:15">
      <c r="A964" s="2" t="s">
        <v>1177</v>
      </c>
      <c r="B964" s="3">
        <v>45749</v>
      </c>
      <c r="C964" s="4">
        <v>2025</v>
      </c>
      <c r="D964" s="2" t="s">
        <v>30</v>
      </c>
      <c r="E964" s="2" t="s">
        <v>42</v>
      </c>
      <c r="F964" s="2" t="s">
        <v>43</v>
      </c>
      <c r="G964" s="2" t="s">
        <v>64</v>
      </c>
      <c r="H964" s="2" t="s">
        <v>94</v>
      </c>
      <c r="I964" s="2" t="s">
        <v>601</v>
      </c>
      <c r="J964" s="5">
        <v>1</v>
      </c>
      <c r="K964" s="6">
        <v>2400</v>
      </c>
      <c r="L964" s="6">
        <f t="shared" si="45"/>
        <v>2400</v>
      </c>
      <c r="M964" s="7">
        <v>0.127</v>
      </c>
      <c r="N964" s="6">
        <f t="shared" si="46"/>
        <v>304.8</v>
      </c>
      <c r="O964" s="6">
        <f t="shared" si="47"/>
        <v>2095.1999999999998</v>
      </c>
    </row>
    <row r="965" spans="1:15">
      <c r="A965" s="8" t="s">
        <v>1178</v>
      </c>
      <c r="B965" s="9">
        <v>45692</v>
      </c>
      <c r="C965" s="10">
        <v>2025</v>
      </c>
      <c r="D965" s="8" t="s">
        <v>23</v>
      </c>
      <c r="E965" s="8" t="s">
        <v>35</v>
      </c>
      <c r="F965" s="8" t="s">
        <v>36</v>
      </c>
      <c r="G965" s="8" t="s">
        <v>57</v>
      </c>
      <c r="H965" s="8" t="s">
        <v>75</v>
      </c>
      <c r="I965" s="8" t="s">
        <v>144</v>
      </c>
      <c r="J965" s="11">
        <v>1</v>
      </c>
      <c r="K965" s="12">
        <v>5000</v>
      </c>
      <c r="L965" s="12">
        <f t="shared" si="45"/>
        <v>5000</v>
      </c>
      <c r="M965" s="13">
        <v>0</v>
      </c>
      <c r="N965" s="12">
        <f t="shared" si="46"/>
        <v>0</v>
      </c>
      <c r="O965" s="12">
        <f t="shared" si="47"/>
        <v>5000</v>
      </c>
    </row>
    <row r="966" spans="1:15">
      <c r="A966" s="2" t="s">
        <v>1179</v>
      </c>
      <c r="B966" s="3">
        <v>45681</v>
      </c>
      <c r="C966" s="4">
        <v>2025</v>
      </c>
      <c r="D966" s="2" t="s">
        <v>169</v>
      </c>
      <c r="E966" s="2" t="s">
        <v>24</v>
      </c>
      <c r="F966" s="2" t="s">
        <v>25</v>
      </c>
      <c r="G966" s="2" t="s">
        <v>64</v>
      </c>
      <c r="H966" s="2" t="s">
        <v>94</v>
      </c>
      <c r="I966" s="2" t="s">
        <v>170</v>
      </c>
      <c r="J966" s="5">
        <v>1</v>
      </c>
      <c r="K966" s="6">
        <v>1750</v>
      </c>
      <c r="L966" s="6">
        <f t="shared" si="45"/>
        <v>1750</v>
      </c>
      <c r="M966" s="7">
        <v>0</v>
      </c>
      <c r="N966" s="6">
        <f t="shared" si="46"/>
        <v>0</v>
      </c>
      <c r="O966" s="6">
        <f t="shared" si="47"/>
        <v>1750</v>
      </c>
    </row>
    <row r="967" spans="1:15">
      <c r="A967" s="8" t="s">
        <v>1180</v>
      </c>
      <c r="B967" s="9">
        <v>45232</v>
      </c>
      <c r="C967" s="10">
        <v>2023</v>
      </c>
      <c r="D967" s="8" t="s">
        <v>41</v>
      </c>
      <c r="E967" s="8" t="s">
        <v>42</v>
      </c>
      <c r="F967" s="8" t="s">
        <v>43</v>
      </c>
      <c r="G967" s="8" t="s">
        <v>64</v>
      </c>
      <c r="H967" s="8" t="s">
        <v>127</v>
      </c>
      <c r="I967" s="8" t="s">
        <v>128</v>
      </c>
      <c r="J967" s="11">
        <v>1</v>
      </c>
      <c r="K967" s="12">
        <v>470</v>
      </c>
      <c r="L967" s="12">
        <f t="shared" si="45"/>
        <v>470</v>
      </c>
      <c r="M967" s="13">
        <v>6.0999999999999999E-2</v>
      </c>
      <c r="N967" s="12">
        <f t="shared" si="46"/>
        <v>28.669999999999998</v>
      </c>
      <c r="O967" s="12">
        <f t="shared" si="47"/>
        <v>441.33</v>
      </c>
    </row>
    <row r="968" spans="1:15">
      <c r="A968" s="2" t="s">
        <v>1181</v>
      </c>
      <c r="B968" s="3">
        <v>45864</v>
      </c>
      <c r="C968" s="4">
        <v>2025</v>
      </c>
      <c r="D968" s="2" t="s">
        <v>68</v>
      </c>
      <c r="E968" s="2" t="s">
        <v>42</v>
      </c>
      <c r="F968" s="2" t="s">
        <v>43</v>
      </c>
      <c r="G968" s="2" t="s">
        <v>19</v>
      </c>
      <c r="H968" s="2" t="s">
        <v>20</v>
      </c>
      <c r="I968" s="2" t="s">
        <v>120</v>
      </c>
      <c r="J968" s="5">
        <v>3</v>
      </c>
      <c r="K968" s="6">
        <v>2350</v>
      </c>
      <c r="L968" s="6">
        <f t="shared" si="45"/>
        <v>7050</v>
      </c>
      <c r="M968" s="7">
        <v>4.3999999999999997E-2</v>
      </c>
      <c r="N968" s="6">
        <f t="shared" si="46"/>
        <v>310.2</v>
      </c>
      <c r="O968" s="6">
        <f t="shared" si="47"/>
        <v>6739.8</v>
      </c>
    </row>
    <row r="969" spans="1:15">
      <c r="A969" s="8" t="s">
        <v>1182</v>
      </c>
      <c r="B969" s="9">
        <v>45041</v>
      </c>
      <c r="C969" s="10">
        <v>2023</v>
      </c>
      <c r="D969" s="8" t="s">
        <v>30</v>
      </c>
      <c r="E969" s="8" t="s">
        <v>35</v>
      </c>
      <c r="F969" s="8" t="s">
        <v>36</v>
      </c>
      <c r="G969" s="8" t="s">
        <v>44</v>
      </c>
      <c r="H969" s="8" t="s">
        <v>176</v>
      </c>
      <c r="I969" s="8" t="s">
        <v>453</v>
      </c>
      <c r="J969" s="11">
        <v>1</v>
      </c>
      <c r="K969" s="12">
        <v>1500</v>
      </c>
      <c r="L969" s="12">
        <f t="shared" si="45"/>
        <v>1500</v>
      </c>
      <c r="M969" s="13">
        <v>0</v>
      </c>
      <c r="N969" s="12">
        <f t="shared" si="46"/>
        <v>0</v>
      </c>
      <c r="O969" s="12">
        <f t="shared" si="47"/>
        <v>1500</v>
      </c>
    </row>
    <row r="970" spans="1:15">
      <c r="A970" s="2" t="s">
        <v>1183</v>
      </c>
      <c r="B970" s="3">
        <v>45342</v>
      </c>
      <c r="C970" s="4">
        <v>2024</v>
      </c>
      <c r="D970" s="2" t="s">
        <v>23</v>
      </c>
      <c r="E970" s="2" t="s">
        <v>42</v>
      </c>
      <c r="F970" s="2" t="s">
        <v>43</v>
      </c>
      <c r="G970" s="2" t="s">
        <v>31</v>
      </c>
      <c r="H970" s="2" t="s">
        <v>124</v>
      </c>
      <c r="I970" s="2" t="s">
        <v>125</v>
      </c>
      <c r="J970" s="5">
        <v>1</v>
      </c>
      <c r="K970" s="6">
        <v>700</v>
      </c>
      <c r="L970" s="6">
        <f t="shared" si="45"/>
        <v>700</v>
      </c>
      <c r="M970" s="7">
        <v>3.7999999999999999E-2</v>
      </c>
      <c r="N970" s="6">
        <f t="shared" si="46"/>
        <v>26.599999999999998</v>
      </c>
      <c r="O970" s="6">
        <f t="shared" si="47"/>
        <v>673.4</v>
      </c>
    </row>
    <row r="971" spans="1:15">
      <c r="A971" s="8" t="s">
        <v>1184</v>
      </c>
      <c r="B971" s="9">
        <v>45221</v>
      </c>
      <c r="C971" s="10">
        <v>2023</v>
      </c>
      <c r="D971" s="8" t="s">
        <v>72</v>
      </c>
      <c r="E971" s="8" t="s">
        <v>42</v>
      </c>
      <c r="F971" s="8" t="s">
        <v>43</v>
      </c>
      <c r="G971" s="8" t="s">
        <v>31</v>
      </c>
      <c r="H971" s="8" t="s">
        <v>81</v>
      </c>
      <c r="I971" s="8" t="s">
        <v>186</v>
      </c>
      <c r="J971" s="11">
        <v>1</v>
      </c>
      <c r="K971" s="12">
        <v>180</v>
      </c>
      <c r="L971" s="12">
        <f t="shared" si="45"/>
        <v>180</v>
      </c>
      <c r="M971" s="13">
        <v>0</v>
      </c>
      <c r="N971" s="12">
        <f t="shared" si="46"/>
        <v>0</v>
      </c>
      <c r="O971" s="12">
        <f t="shared" si="47"/>
        <v>180</v>
      </c>
    </row>
    <row r="972" spans="1:15">
      <c r="A972" s="2" t="s">
        <v>1185</v>
      </c>
      <c r="B972" s="3">
        <v>45107</v>
      </c>
      <c r="C972" s="4">
        <v>2023</v>
      </c>
      <c r="D972" s="2" t="s">
        <v>100</v>
      </c>
      <c r="E972" s="2" t="s">
        <v>24</v>
      </c>
      <c r="F972" s="2" t="s">
        <v>25</v>
      </c>
      <c r="G972" s="2" t="s">
        <v>57</v>
      </c>
      <c r="H972" s="2" t="s">
        <v>58</v>
      </c>
      <c r="I972" s="2" t="s">
        <v>87</v>
      </c>
      <c r="J972" s="5">
        <v>1</v>
      </c>
      <c r="K972" s="6">
        <v>4650</v>
      </c>
      <c r="L972" s="6">
        <f t="shared" si="45"/>
        <v>4650</v>
      </c>
      <c r="M972" s="7">
        <v>0</v>
      </c>
      <c r="N972" s="6">
        <f t="shared" si="46"/>
        <v>0</v>
      </c>
      <c r="O972" s="6">
        <f t="shared" si="47"/>
        <v>4650</v>
      </c>
    </row>
    <row r="973" spans="1:15">
      <c r="A973" s="8" t="s">
        <v>1186</v>
      </c>
      <c r="B973" s="9">
        <v>45739</v>
      </c>
      <c r="C973" s="10">
        <v>2025</v>
      </c>
      <c r="D973" s="8" t="s">
        <v>78</v>
      </c>
      <c r="E973" s="8" t="s">
        <v>17</v>
      </c>
      <c r="F973" s="8" t="s">
        <v>18</v>
      </c>
      <c r="G973" s="8" t="s">
        <v>31</v>
      </c>
      <c r="H973" s="8" t="s">
        <v>124</v>
      </c>
      <c r="I973" s="8" t="s">
        <v>188</v>
      </c>
      <c r="J973" s="11">
        <v>3</v>
      </c>
      <c r="K973" s="12">
        <v>230</v>
      </c>
      <c r="L973" s="12">
        <f t="shared" si="45"/>
        <v>690</v>
      </c>
      <c r="M973" s="13">
        <v>0</v>
      </c>
      <c r="N973" s="12">
        <f t="shared" si="46"/>
        <v>0</v>
      </c>
      <c r="O973" s="12">
        <f t="shared" si="47"/>
        <v>690</v>
      </c>
    </row>
    <row r="974" spans="1:15">
      <c r="A974" s="2" t="s">
        <v>1187</v>
      </c>
      <c r="B974" s="3">
        <v>45051</v>
      </c>
      <c r="C974" s="4">
        <v>2023</v>
      </c>
      <c r="D974" s="2" t="s">
        <v>48</v>
      </c>
      <c r="E974" s="2" t="s">
        <v>24</v>
      </c>
      <c r="F974" s="2" t="s">
        <v>25</v>
      </c>
      <c r="G974" s="2" t="s">
        <v>31</v>
      </c>
      <c r="H974" s="2" t="s">
        <v>84</v>
      </c>
      <c r="I974" s="2" t="s">
        <v>448</v>
      </c>
      <c r="J974" s="5">
        <v>8</v>
      </c>
      <c r="K974" s="6">
        <v>850</v>
      </c>
      <c r="L974" s="6">
        <f t="shared" si="45"/>
        <v>6800</v>
      </c>
      <c r="M974" s="7">
        <v>0</v>
      </c>
      <c r="N974" s="6">
        <f t="shared" si="46"/>
        <v>0</v>
      </c>
      <c r="O974" s="6">
        <f t="shared" si="47"/>
        <v>6800</v>
      </c>
    </row>
    <row r="975" spans="1:15">
      <c r="A975" s="8" t="s">
        <v>1188</v>
      </c>
      <c r="B975" s="9">
        <v>45886</v>
      </c>
      <c r="C975" s="10">
        <v>2025</v>
      </c>
      <c r="D975" s="8" t="s">
        <v>52</v>
      </c>
      <c r="E975" s="8" t="s">
        <v>24</v>
      </c>
      <c r="F975" s="8" t="s">
        <v>25</v>
      </c>
      <c r="G975" s="8" t="s">
        <v>53</v>
      </c>
      <c r="H975" s="8" t="s">
        <v>285</v>
      </c>
      <c r="I975" s="8" t="s">
        <v>713</v>
      </c>
      <c r="J975" s="11">
        <v>2</v>
      </c>
      <c r="K975" s="12">
        <v>1650</v>
      </c>
      <c r="L975" s="12">
        <f t="shared" si="45"/>
        <v>3300</v>
      </c>
      <c r="M975" s="13">
        <v>0.124</v>
      </c>
      <c r="N975" s="12">
        <f t="shared" si="46"/>
        <v>409.2</v>
      </c>
      <c r="O975" s="12">
        <f t="shared" si="47"/>
        <v>2890.8</v>
      </c>
    </row>
    <row r="976" spans="1:15">
      <c r="A976" s="2" t="s">
        <v>1189</v>
      </c>
      <c r="B976" s="3">
        <v>44986</v>
      </c>
      <c r="C976" s="4">
        <v>2023</v>
      </c>
      <c r="D976" s="2" t="s">
        <v>78</v>
      </c>
      <c r="E976" s="2" t="s">
        <v>17</v>
      </c>
      <c r="F976" s="2" t="s">
        <v>18</v>
      </c>
      <c r="G976" s="2" t="s">
        <v>44</v>
      </c>
      <c r="H976" s="2" t="s">
        <v>176</v>
      </c>
      <c r="I976" s="2" t="s">
        <v>525</v>
      </c>
      <c r="J976" s="5">
        <v>1</v>
      </c>
      <c r="K976" s="6">
        <v>230</v>
      </c>
      <c r="L976" s="6">
        <f t="shared" si="45"/>
        <v>230</v>
      </c>
      <c r="M976" s="7">
        <v>0</v>
      </c>
      <c r="N976" s="6">
        <f t="shared" si="46"/>
        <v>0</v>
      </c>
      <c r="O976" s="6">
        <f t="shared" si="47"/>
        <v>230</v>
      </c>
    </row>
    <row r="977" spans="1:15">
      <c r="A977" s="8" t="s">
        <v>1190</v>
      </c>
      <c r="B977" s="9">
        <v>45842</v>
      </c>
      <c r="C977" s="10">
        <v>2025</v>
      </c>
      <c r="D977" s="8" t="s">
        <v>68</v>
      </c>
      <c r="E977" s="8" t="s">
        <v>24</v>
      </c>
      <c r="F977" s="8" t="s">
        <v>25</v>
      </c>
      <c r="G977" s="8" t="s">
        <v>19</v>
      </c>
      <c r="H977" s="8" t="s">
        <v>116</v>
      </c>
      <c r="I977" s="8" t="s">
        <v>156</v>
      </c>
      <c r="J977" s="11">
        <v>2</v>
      </c>
      <c r="K977" s="12">
        <v>2000</v>
      </c>
      <c r="L977" s="12">
        <f t="shared" si="45"/>
        <v>4000</v>
      </c>
      <c r="M977" s="13">
        <v>0</v>
      </c>
      <c r="N977" s="12">
        <f t="shared" si="46"/>
        <v>0</v>
      </c>
      <c r="O977" s="12">
        <f t="shared" si="47"/>
        <v>4000</v>
      </c>
    </row>
    <row r="978" spans="1:15">
      <c r="A978" s="2" t="s">
        <v>1191</v>
      </c>
      <c r="B978" s="3">
        <v>45918</v>
      </c>
      <c r="C978" s="4">
        <v>2025</v>
      </c>
      <c r="D978" s="2" t="s">
        <v>123</v>
      </c>
      <c r="E978" s="2" t="s">
        <v>42</v>
      </c>
      <c r="F978" s="2" t="s">
        <v>43</v>
      </c>
      <c r="G978" s="2" t="s">
        <v>64</v>
      </c>
      <c r="H978" s="2" t="s">
        <v>94</v>
      </c>
      <c r="I978" s="2" t="s">
        <v>601</v>
      </c>
      <c r="J978" s="5">
        <v>3</v>
      </c>
      <c r="K978" s="6">
        <v>1500</v>
      </c>
      <c r="L978" s="6">
        <f t="shared" si="45"/>
        <v>4500</v>
      </c>
      <c r="M978" s="7">
        <v>0.18</v>
      </c>
      <c r="N978" s="6">
        <f t="shared" si="46"/>
        <v>810</v>
      </c>
      <c r="O978" s="6">
        <f t="shared" si="47"/>
        <v>3690</v>
      </c>
    </row>
    <row r="979" spans="1:15">
      <c r="A979" s="8" t="s">
        <v>1192</v>
      </c>
      <c r="B979" s="9">
        <v>45418</v>
      </c>
      <c r="C979" s="10">
        <v>2024</v>
      </c>
      <c r="D979" s="8" t="s">
        <v>48</v>
      </c>
      <c r="E979" s="8" t="s">
        <v>24</v>
      </c>
      <c r="F979" s="8" t="s">
        <v>25</v>
      </c>
      <c r="G979" s="8" t="s">
        <v>64</v>
      </c>
      <c r="H979" s="8" t="s">
        <v>97</v>
      </c>
      <c r="I979" s="8" t="s">
        <v>98</v>
      </c>
      <c r="J979" s="11">
        <v>3</v>
      </c>
      <c r="K979" s="12">
        <v>390</v>
      </c>
      <c r="L979" s="12">
        <f t="shared" si="45"/>
        <v>1170</v>
      </c>
      <c r="M979" s="13">
        <v>7.0000000000000007E-2</v>
      </c>
      <c r="N979" s="12">
        <f t="shared" si="46"/>
        <v>81.900000000000006</v>
      </c>
      <c r="O979" s="12">
        <f t="shared" si="47"/>
        <v>1088.0999999999999</v>
      </c>
    </row>
    <row r="980" spans="1:15">
      <c r="A980" s="2" t="s">
        <v>1193</v>
      </c>
      <c r="B980" s="3">
        <v>45960</v>
      </c>
      <c r="C980" s="4">
        <v>2025</v>
      </c>
      <c r="D980" s="2" t="s">
        <v>72</v>
      </c>
      <c r="E980" s="2" t="s">
        <v>42</v>
      </c>
      <c r="F980" s="2" t="s">
        <v>43</v>
      </c>
      <c r="G980" s="2" t="s">
        <v>31</v>
      </c>
      <c r="H980" s="2" t="s">
        <v>124</v>
      </c>
      <c r="I980" s="2" t="s">
        <v>125</v>
      </c>
      <c r="J980" s="5">
        <v>3</v>
      </c>
      <c r="K980" s="6">
        <v>750</v>
      </c>
      <c r="L980" s="6">
        <f t="shared" si="45"/>
        <v>2250</v>
      </c>
      <c r="M980" s="7">
        <v>0</v>
      </c>
      <c r="N980" s="6">
        <f t="shared" si="46"/>
        <v>0</v>
      </c>
      <c r="O980" s="6">
        <f t="shared" si="47"/>
        <v>2250</v>
      </c>
    </row>
    <row r="981" spans="1:15">
      <c r="A981" s="8" t="s">
        <v>1194</v>
      </c>
      <c r="B981" s="9">
        <v>45378</v>
      </c>
      <c r="C981" s="10">
        <v>2024</v>
      </c>
      <c r="D981" s="8" t="s">
        <v>78</v>
      </c>
      <c r="E981" s="8" t="s">
        <v>17</v>
      </c>
      <c r="F981" s="8" t="s">
        <v>18</v>
      </c>
      <c r="G981" s="8" t="s">
        <v>31</v>
      </c>
      <c r="H981" s="8" t="s">
        <v>124</v>
      </c>
      <c r="I981" s="8" t="s">
        <v>508</v>
      </c>
      <c r="J981" s="11">
        <v>2</v>
      </c>
      <c r="K981" s="12">
        <v>750</v>
      </c>
      <c r="L981" s="12">
        <f t="shared" si="45"/>
        <v>1500</v>
      </c>
      <c r="M981" s="13">
        <v>0</v>
      </c>
      <c r="N981" s="12">
        <f t="shared" si="46"/>
        <v>0</v>
      </c>
      <c r="O981" s="12">
        <f t="shared" si="47"/>
        <v>1500</v>
      </c>
    </row>
    <row r="982" spans="1:15">
      <c r="A982" s="2" t="s">
        <v>1195</v>
      </c>
      <c r="B982" s="3">
        <v>45372</v>
      </c>
      <c r="C982" s="4">
        <v>2024</v>
      </c>
      <c r="D982" s="2" t="s">
        <v>78</v>
      </c>
      <c r="E982" s="2" t="s">
        <v>17</v>
      </c>
      <c r="F982" s="2" t="s">
        <v>18</v>
      </c>
      <c r="G982" s="2" t="s">
        <v>19</v>
      </c>
      <c r="H982" s="2" t="s">
        <v>271</v>
      </c>
      <c r="I982" s="2" t="s">
        <v>571</v>
      </c>
      <c r="J982" s="5">
        <v>1</v>
      </c>
      <c r="K982" s="6">
        <v>310</v>
      </c>
      <c r="L982" s="6">
        <f t="shared" si="45"/>
        <v>310</v>
      </c>
      <c r="M982" s="7">
        <v>4.4999999999999998E-2</v>
      </c>
      <c r="N982" s="6">
        <f t="shared" si="46"/>
        <v>13.95</v>
      </c>
      <c r="O982" s="6">
        <f t="shared" si="47"/>
        <v>296.05</v>
      </c>
    </row>
    <row r="983" spans="1:15">
      <c r="A983" s="8" t="s">
        <v>1196</v>
      </c>
      <c r="B983" s="9">
        <v>45564</v>
      </c>
      <c r="C983" s="10">
        <v>2024</v>
      </c>
      <c r="D983" s="8" t="s">
        <v>123</v>
      </c>
      <c r="E983" s="8" t="s">
        <v>17</v>
      </c>
      <c r="F983" s="8" t="s">
        <v>18</v>
      </c>
      <c r="G983" s="8" t="s">
        <v>37</v>
      </c>
      <c r="H983" s="8" t="s">
        <v>38</v>
      </c>
      <c r="I983" s="8" t="s">
        <v>436</v>
      </c>
      <c r="J983" s="11">
        <v>1</v>
      </c>
      <c r="K983" s="12">
        <v>4000</v>
      </c>
      <c r="L983" s="12">
        <f t="shared" si="45"/>
        <v>4000</v>
      </c>
      <c r="M983" s="13">
        <v>7.2999999999999995E-2</v>
      </c>
      <c r="N983" s="12">
        <f t="shared" si="46"/>
        <v>292</v>
      </c>
      <c r="O983" s="12">
        <f t="shared" si="47"/>
        <v>3708</v>
      </c>
    </row>
    <row r="984" spans="1:15">
      <c r="A984" s="2" t="s">
        <v>1197</v>
      </c>
      <c r="B984" s="3">
        <v>45142</v>
      </c>
      <c r="C984" s="4">
        <v>2023</v>
      </c>
      <c r="D984" s="2" t="s">
        <v>52</v>
      </c>
      <c r="E984" s="2" t="s">
        <v>17</v>
      </c>
      <c r="F984" s="2" t="s">
        <v>18</v>
      </c>
      <c r="G984" s="2" t="s">
        <v>44</v>
      </c>
      <c r="H984" s="2" t="s">
        <v>45</v>
      </c>
      <c r="I984" s="2" t="s">
        <v>217</v>
      </c>
      <c r="J984" s="5">
        <v>2</v>
      </c>
      <c r="K984" s="6">
        <v>1350</v>
      </c>
      <c r="L984" s="6">
        <f t="shared" si="45"/>
        <v>2700</v>
      </c>
      <c r="M984" s="7">
        <v>0</v>
      </c>
      <c r="N984" s="6">
        <f t="shared" si="46"/>
        <v>0</v>
      </c>
      <c r="O984" s="6">
        <f t="shared" si="47"/>
        <v>2700</v>
      </c>
    </row>
    <row r="985" spans="1:15">
      <c r="A985" s="8" t="s">
        <v>1198</v>
      </c>
      <c r="B985" s="9">
        <v>44931</v>
      </c>
      <c r="C985" s="10">
        <v>2023</v>
      </c>
      <c r="D985" s="8" t="s">
        <v>169</v>
      </c>
      <c r="E985" s="8" t="s">
        <v>24</v>
      </c>
      <c r="F985" s="8" t="s">
        <v>25</v>
      </c>
      <c r="G985" s="8" t="s">
        <v>26</v>
      </c>
      <c r="H985" s="8" t="s">
        <v>110</v>
      </c>
      <c r="I985" s="8" t="s">
        <v>313</v>
      </c>
      <c r="J985" s="11">
        <v>1</v>
      </c>
      <c r="K985" s="12">
        <v>52500</v>
      </c>
      <c r="L985" s="12">
        <f t="shared" si="45"/>
        <v>52500</v>
      </c>
      <c r="M985" s="13">
        <v>0</v>
      </c>
      <c r="N985" s="12">
        <f t="shared" si="46"/>
        <v>0</v>
      </c>
      <c r="O985" s="12">
        <f t="shared" si="47"/>
        <v>52500</v>
      </c>
    </row>
    <row r="986" spans="1:15">
      <c r="A986" s="2" t="s">
        <v>1199</v>
      </c>
      <c r="B986" s="3">
        <v>45702</v>
      </c>
      <c r="C986" s="4">
        <v>2025</v>
      </c>
      <c r="D986" s="2" t="s">
        <v>23</v>
      </c>
      <c r="E986" s="2" t="s">
        <v>42</v>
      </c>
      <c r="F986" s="2" t="s">
        <v>43</v>
      </c>
      <c r="G986" s="2" t="s">
        <v>44</v>
      </c>
      <c r="H986" s="2" t="s">
        <v>223</v>
      </c>
      <c r="I986" s="2" t="s">
        <v>224</v>
      </c>
      <c r="J986" s="5">
        <v>6</v>
      </c>
      <c r="K986" s="6">
        <v>1500</v>
      </c>
      <c r="L986" s="6">
        <f t="shared" si="45"/>
        <v>9000</v>
      </c>
      <c r="M986" s="7">
        <v>0</v>
      </c>
      <c r="N986" s="6">
        <f t="shared" si="46"/>
        <v>0</v>
      </c>
      <c r="O986" s="6">
        <f t="shared" si="47"/>
        <v>9000</v>
      </c>
    </row>
    <row r="987" spans="1:15">
      <c r="A987" s="8" t="s">
        <v>1200</v>
      </c>
      <c r="B987" s="9">
        <v>45398</v>
      </c>
      <c r="C987" s="10">
        <v>2024</v>
      </c>
      <c r="D987" s="8" t="s">
        <v>30</v>
      </c>
      <c r="E987" s="8" t="s">
        <v>42</v>
      </c>
      <c r="F987" s="8" t="s">
        <v>43</v>
      </c>
      <c r="G987" s="8" t="s">
        <v>19</v>
      </c>
      <c r="H987" s="8" t="s">
        <v>107</v>
      </c>
      <c r="I987" s="8" t="s">
        <v>242</v>
      </c>
      <c r="J987" s="11">
        <v>2</v>
      </c>
      <c r="K987" s="12">
        <v>170</v>
      </c>
      <c r="L987" s="12">
        <f t="shared" si="45"/>
        <v>340</v>
      </c>
      <c r="M987" s="13">
        <v>5.8999999999999997E-2</v>
      </c>
      <c r="N987" s="12">
        <f t="shared" si="46"/>
        <v>20.059999999999999</v>
      </c>
      <c r="O987" s="12">
        <f t="shared" si="47"/>
        <v>319.94</v>
      </c>
    </row>
    <row r="988" spans="1:15">
      <c r="A988" s="2" t="s">
        <v>1201</v>
      </c>
      <c r="B988" s="3">
        <v>45644</v>
      </c>
      <c r="C988" s="4">
        <v>2024</v>
      </c>
      <c r="D988" s="2" t="s">
        <v>16</v>
      </c>
      <c r="E988" s="2" t="s">
        <v>35</v>
      </c>
      <c r="F988" s="2" t="s">
        <v>36</v>
      </c>
      <c r="G988" s="2" t="s">
        <v>19</v>
      </c>
      <c r="H988" s="2" t="s">
        <v>69</v>
      </c>
      <c r="I988" s="2" t="s">
        <v>315</v>
      </c>
      <c r="J988" s="5">
        <v>1</v>
      </c>
      <c r="K988" s="6">
        <v>1250</v>
      </c>
      <c r="L988" s="6">
        <f t="shared" si="45"/>
        <v>1250</v>
      </c>
      <c r="M988" s="7">
        <v>0</v>
      </c>
      <c r="N988" s="6">
        <f t="shared" si="46"/>
        <v>0</v>
      </c>
      <c r="O988" s="6">
        <f t="shared" si="47"/>
        <v>1250</v>
      </c>
    </row>
    <row r="989" spans="1:15">
      <c r="A989" s="8" t="s">
        <v>1202</v>
      </c>
      <c r="B989" s="9">
        <v>46018</v>
      </c>
      <c r="C989" s="10">
        <v>2025</v>
      </c>
      <c r="D989" s="8" t="s">
        <v>16</v>
      </c>
      <c r="E989" s="8" t="s">
        <v>35</v>
      </c>
      <c r="F989" s="8" t="s">
        <v>36</v>
      </c>
      <c r="G989" s="8" t="s">
        <v>26</v>
      </c>
      <c r="H989" s="8" t="s">
        <v>110</v>
      </c>
      <c r="I989" s="8" t="s">
        <v>330</v>
      </c>
      <c r="J989" s="11">
        <v>1</v>
      </c>
      <c r="K989" s="12">
        <v>84000</v>
      </c>
      <c r="L989" s="12">
        <f t="shared" si="45"/>
        <v>84000</v>
      </c>
      <c r="M989" s="13">
        <v>0</v>
      </c>
      <c r="N989" s="12">
        <f t="shared" si="46"/>
        <v>0</v>
      </c>
      <c r="O989" s="12">
        <f t="shared" si="47"/>
        <v>84000</v>
      </c>
    </row>
    <row r="990" spans="1:15">
      <c r="A990" s="2" t="s">
        <v>1203</v>
      </c>
      <c r="B990" s="3">
        <v>45056</v>
      </c>
      <c r="C990" s="4">
        <v>2023</v>
      </c>
      <c r="D990" s="2" t="s">
        <v>48</v>
      </c>
      <c r="E990" s="2" t="s">
        <v>42</v>
      </c>
      <c r="F990" s="2" t="s">
        <v>43</v>
      </c>
      <c r="G990" s="2" t="s">
        <v>53</v>
      </c>
      <c r="H990" s="2" t="s">
        <v>136</v>
      </c>
      <c r="I990" s="2" t="s">
        <v>137</v>
      </c>
      <c r="J990" s="5">
        <v>1</v>
      </c>
      <c r="K990" s="6">
        <v>3950</v>
      </c>
      <c r="L990" s="6">
        <f t="shared" si="45"/>
        <v>3950</v>
      </c>
      <c r="M990" s="7">
        <v>0</v>
      </c>
      <c r="N990" s="6">
        <f t="shared" si="46"/>
        <v>0</v>
      </c>
      <c r="O990" s="6">
        <f t="shared" si="47"/>
        <v>3950</v>
      </c>
    </row>
    <row r="991" spans="1:15">
      <c r="A991" s="8" t="s">
        <v>1204</v>
      </c>
      <c r="B991" s="9">
        <v>45974</v>
      </c>
      <c r="C991" s="10">
        <v>2025</v>
      </c>
      <c r="D991" s="8" t="s">
        <v>41</v>
      </c>
      <c r="E991" s="8" t="s">
        <v>24</v>
      </c>
      <c r="F991" s="8" t="s">
        <v>25</v>
      </c>
      <c r="G991" s="8" t="s">
        <v>64</v>
      </c>
      <c r="H991" s="8" t="s">
        <v>127</v>
      </c>
      <c r="I991" s="8" t="s">
        <v>317</v>
      </c>
      <c r="J991" s="11">
        <v>2</v>
      </c>
      <c r="K991" s="12">
        <v>1000</v>
      </c>
      <c r="L991" s="12">
        <f t="shared" si="45"/>
        <v>2000</v>
      </c>
      <c r="M991" s="13">
        <v>0.20599999999999999</v>
      </c>
      <c r="N991" s="12">
        <f t="shared" si="46"/>
        <v>412</v>
      </c>
      <c r="O991" s="12">
        <f t="shared" si="47"/>
        <v>1588</v>
      </c>
    </row>
    <row r="992" spans="1:15">
      <c r="A992" s="2" t="s">
        <v>1205</v>
      </c>
      <c r="B992" s="3">
        <v>45762</v>
      </c>
      <c r="C992" s="4">
        <v>2025</v>
      </c>
      <c r="D992" s="2" t="s">
        <v>30</v>
      </c>
      <c r="E992" s="2" t="s">
        <v>17</v>
      </c>
      <c r="F992" s="2" t="s">
        <v>18</v>
      </c>
      <c r="G992" s="2" t="s">
        <v>64</v>
      </c>
      <c r="H992" s="2" t="s">
        <v>94</v>
      </c>
      <c r="I992" s="2" t="s">
        <v>420</v>
      </c>
      <c r="J992" s="5">
        <v>1</v>
      </c>
      <c r="K992" s="6">
        <v>4000</v>
      </c>
      <c r="L992" s="6">
        <f t="shared" si="45"/>
        <v>4000</v>
      </c>
      <c r="M992" s="7">
        <v>0</v>
      </c>
      <c r="N992" s="6">
        <f t="shared" si="46"/>
        <v>0</v>
      </c>
      <c r="O992" s="6">
        <f t="shared" si="47"/>
        <v>4000</v>
      </c>
    </row>
    <row r="993" spans="1:15">
      <c r="A993" s="8" t="s">
        <v>1206</v>
      </c>
      <c r="B993" s="9">
        <v>44986</v>
      </c>
      <c r="C993" s="10">
        <v>2023</v>
      </c>
      <c r="D993" s="8" t="s">
        <v>78</v>
      </c>
      <c r="E993" s="8" t="s">
        <v>35</v>
      </c>
      <c r="F993" s="8" t="s">
        <v>36</v>
      </c>
      <c r="G993" s="8" t="s">
        <v>44</v>
      </c>
      <c r="H993" s="8" t="s">
        <v>176</v>
      </c>
      <c r="I993" s="8" t="s">
        <v>525</v>
      </c>
      <c r="J993" s="11">
        <v>2</v>
      </c>
      <c r="K993" s="12">
        <v>650</v>
      </c>
      <c r="L993" s="12">
        <f t="shared" si="45"/>
        <v>1300</v>
      </c>
      <c r="M993" s="13">
        <v>0.03</v>
      </c>
      <c r="N993" s="12">
        <f t="shared" si="46"/>
        <v>39</v>
      </c>
      <c r="O993" s="12">
        <f t="shared" si="47"/>
        <v>1261</v>
      </c>
    </row>
    <row r="994" spans="1:15">
      <c r="A994" s="2" t="s">
        <v>1207</v>
      </c>
      <c r="B994" s="3">
        <v>45731</v>
      </c>
      <c r="C994" s="4">
        <v>2025</v>
      </c>
      <c r="D994" s="2" t="s">
        <v>78</v>
      </c>
      <c r="E994" s="2" t="s">
        <v>17</v>
      </c>
      <c r="F994" s="2" t="s">
        <v>18</v>
      </c>
      <c r="G994" s="2" t="s">
        <v>26</v>
      </c>
      <c r="H994" s="2" t="s">
        <v>101</v>
      </c>
      <c r="I994" s="2" t="s">
        <v>102</v>
      </c>
      <c r="J994" s="5">
        <v>1</v>
      </c>
      <c r="K994" s="6">
        <v>2100</v>
      </c>
      <c r="L994" s="6">
        <f t="shared" si="45"/>
        <v>2100</v>
      </c>
      <c r="M994" s="7">
        <v>8.3000000000000004E-2</v>
      </c>
      <c r="N994" s="6">
        <f t="shared" si="46"/>
        <v>174.3</v>
      </c>
      <c r="O994" s="6">
        <f t="shared" si="47"/>
        <v>1925.7</v>
      </c>
    </row>
    <row r="995" spans="1:15">
      <c r="A995" s="8" t="s">
        <v>1208</v>
      </c>
      <c r="B995" s="9">
        <v>45199</v>
      </c>
      <c r="C995" s="10">
        <v>2023</v>
      </c>
      <c r="D995" s="8" t="s">
        <v>123</v>
      </c>
      <c r="E995" s="8" t="s">
        <v>35</v>
      </c>
      <c r="F995" s="8" t="s">
        <v>36</v>
      </c>
      <c r="G995" s="8" t="s">
        <v>19</v>
      </c>
      <c r="H995" s="8" t="s">
        <v>116</v>
      </c>
      <c r="I995" s="8" t="s">
        <v>117</v>
      </c>
      <c r="J995" s="11">
        <v>4</v>
      </c>
      <c r="K995" s="12">
        <v>1850</v>
      </c>
      <c r="L995" s="12">
        <f t="shared" si="45"/>
        <v>7400</v>
      </c>
      <c r="M995" s="13">
        <v>0</v>
      </c>
      <c r="N995" s="12">
        <f t="shared" si="46"/>
        <v>0</v>
      </c>
      <c r="O995" s="12">
        <f t="shared" si="47"/>
        <v>7400</v>
      </c>
    </row>
    <row r="996" spans="1:15">
      <c r="A996" s="2" t="s">
        <v>1209</v>
      </c>
      <c r="B996" s="3">
        <v>45173</v>
      </c>
      <c r="C996" s="4">
        <v>2023</v>
      </c>
      <c r="D996" s="2" t="s">
        <v>123</v>
      </c>
      <c r="E996" s="2" t="s">
        <v>24</v>
      </c>
      <c r="F996" s="2" t="s">
        <v>25</v>
      </c>
      <c r="G996" s="2" t="s">
        <v>31</v>
      </c>
      <c r="H996" s="2" t="s">
        <v>124</v>
      </c>
      <c r="I996" s="2" t="s">
        <v>266</v>
      </c>
      <c r="J996" s="5">
        <v>1</v>
      </c>
      <c r="K996" s="6">
        <v>490</v>
      </c>
      <c r="L996" s="6">
        <f t="shared" si="45"/>
        <v>490</v>
      </c>
      <c r="M996" s="7">
        <v>0</v>
      </c>
      <c r="N996" s="6">
        <f t="shared" si="46"/>
        <v>0</v>
      </c>
      <c r="O996" s="6">
        <f t="shared" si="47"/>
        <v>490</v>
      </c>
    </row>
    <row r="997" spans="1:15">
      <c r="A997" s="8" t="s">
        <v>1210</v>
      </c>
      <c r="B997" s="9">
        <v>45331</v>
      </c>
      <c r="C997" s="10">
        <v>2024</v>
      </c>
      <c r="D997" s="8" t="s">
        <v>23</v>
      </c>
      <c r="E997" s="8" t="s">
        <v>35</v>
      </c>
      <c r="F997" s="8" t="s">
        <v>36</v>
      </c>
      <c r="G997" s="8" t="s">
        <v>44</v>
      </c>
      <c r="H997" s="8" t="s">
        <v>176</v>
      </c>
      <c r="I997" s="8" t="s">
        <v>375</v>
      </c>
      <c r="J997" s="11">
        <v>4</v>
      </c>
      <c r="K997" s="12">
        <v>1650</v>
      </c>
      <c r="L997" s="12">
        <f t="shared" si="45"/>
        <v>6600</v>
      </c>
      <c r="M997" s="13">
        <v>0</v>
      </c>
      <c r="N997" s="12">
        <f t="shared" si="46"/>
        <v>0</v>
      </c>
      <c r="O997" s="12">
        <f t="shared" si="47"/>
        <v>6600</v>
      </c>
    </row>
    <row r="998" spans="1:15">
      <c r="A998" s="2" t="s">
        <v>1211</v>
      </c>
      <c r="B998" s="3">
        <v>46005</v>
      </c>
      <c r="C998" s="4">
        <v>2025</v>
      </c>
      <c r="D998" s="2" t="s">
        <v>16</v>
      </c>
      <c r="E998" s="2" t="s">
        <v>35</v>
      </c>
      <c r="F998" s="2" t="s">
        <v>36</v>
      </c>
      <c r="G998" s="2" t="s">
        <v>57</v>
      </c>
      <c r="H998" s="2" t="s">
        <v>200</v>
      </c>
      <c r="I998" s="2" t="s">
        <v>305</v>
      </c>
      <c r="J998" s="5">
        <v>1</v>
      </c>
      <c r="K998" s="6">
        <v>1400</v>
      </c>
      <c r="L998" s="6">
        <f t="shared" si="45"/>
        <v>1400</v>
      </c>
      <c r="M998" s="7">
        <v>0.161</v>
      </c>
      <c r="N998" s="6">
        <f t="shared" si="46"/>
        <v>225.4</v>
      </c>
      <c r="O998" s="6">
        <f t="shared" si="47"/>
        <v>1174.5999999999999</v>
      </c>
    </row>
    <row r="999" spans="1:15">
      <c r="A999" s="8" t="s">
        <v>1212</v>
      </c>
      <c r="B999" s="9">
        <v>45794</v>
      </c>
      <c r="C999" s="10">
        <v>2025</v>
      </c>
      <c r="D999" s="8" t="s">
        <v>48</v>
      </c>
      <c r="E999" s="8" t="s">
        <v>42</v>
      </c>
      <c r="F999" s="8" t="s">
        <v>43</v>
      </c>
      <c r="G999" s="8" t="s">
        <v>31</v>
      </c>
      <c r="H999" s="8" t="s">
        <v>32</v>
      </c>
      <c r="I999" s="8" t="s">
        <v>198</v>
      </c>
      <c r="J999" s="11">
        <v>1</v>
      </c>
      <c r="K999" s="12">
        <v>500</v>
      </c>
      <c r="L999" s="12">
        <f t="shared" si="45"/>
        <v>500</v>
      </c>
      <c r="M999" s="13">
        <v>1.6E-2</v>
      </c>
      <c r="N999" s="12">
        <f t="shared" si="46"/>
        <v>8</v>
      </c>
      <c r="O999" s="12">
        <f t="shared" si="47"/>
        <v>492</v>
      </c>
    </row>
    <row r="1000" spans="1:15">
      <c r="A1000" s="2" t="s">
        <v>1213</v>
      </c>
      <c r="B1000" s="3">
        <v>45745</v>
      </c>
      <c r="C1000" s="4">
        <v>2025</v>
      </c>
      <c r="D1000" s="2" t="s">
        <v>78</v>
      </c>
      <c r="E1000" s="2" t="s">
        <v>35</v>
      </c>
      <c r="F1000" s="2" t="s">
        <v>36</v>
      </c>
      <c r="G1000" s="2" t="s">
        <v>19</v>
      </c>
      <c r="H1000" s="2" t="s">
        <v>271</v>
      </c>
      <c r="I1000" s="2" t="s">
        <v>272</v>
      </c>
      <c r="J1000" s="5">
        <v>1</v>
      </c>
      <c r="K1000" s="6">
        <v>310</v>
      </c>
      <c r="L1000" s="6">
        <f t="shared" si="45"/>
        <v>310</v>
      </c>
      <c r="M1000" s="7">
        <v>0</v>
      </c>
      <c r="N1000" s="6">
        <f t="shared" si="46"/>
        <v>0</v>
      </c>
      <c r="O1000" s="6">
        <f t="shared" si="47"/>
        <v>310</v>
      </c>
    </row>
    <row r="1001" spans="1:15">
      <c r="A1001" s="8" t="s">
        <v>1214</v>
      </c>
      <c r="B1001" s="9">
        <v>45025</v>
      </c>
      <c r="C1001" s="10">
        <v>2023</v>
      </c>
      <c r="D1001" s="8" t="s">
        <v>30</v>
      </c>
      <c r="E1001" s="8" t="s">
        <v>24</v>
      </c>
      <c r="F1001" s="8" t="s">
        <v>25</v>
      </c>
      <c r="G1001" s="8" t="s">
        <v>64</v>
      </c>
      <c r="H1001" s="8" t="s">
        <v>127</v>
      </c>
      <c r="I1001" s="8" t="s">
        <v>317</v>
      </c>
      <c r="J1001" s="11">
        <v>1</v>
      </c>
      <c r="K1001" s="12">
        <v>1550</v>
      </c>
      <c r="L1001" s="12">
        <f t="shared" si="45"/>
        <v>1550</v>
      </c>
      <c r="M1001" s="13">
        <v>0</v>
      </c>
      <c r="N1001" s="12">
        <f t="shared" si="46"/>
        <v>0</v>
      </c>
      <c r="O1001" s="12">
        <f t="shared" si="47"/>
        <v>1550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Sheet2</vt:lpstr>
      <vt:lpstr>year wise sales</vt:lpstr>
      <vt:lpstr>Sheet8</vt:lpstr>
      <vt:lpstr>category wise sales</vt:lpstr>
      <vt:lpstr>Branxh wise sales</vt:lpstr>
      <vt:lpstr>Top 10 product sales</vt:lpstr>
      <vt:lpstr>sales dashboard</vt:lpstr>
      <vt:lpstr>Sheet9</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Imtiaz Retail — Raw Sales Data</dc:title>
  <dc:subject/>
  <dc:creator>Z.ai</dc:creator>
  <dc:description/>
  <cp:lastModifiedBy>SG</cp:lastModifiedBy>
  <cp:revision>0</cp:revision>
  <dcterms:created xsi:type="dcterms:W3CDTF">2026-10-20T09:44:42Z</dcterms:created>
  <dcterms:modified xsi:type="dcterms:W3CDTF">2026-10-22T09:59:26Z</dcterms:modified>
  <dc:language>en-US</dc:language>
</cp:coreProperties>
</file>